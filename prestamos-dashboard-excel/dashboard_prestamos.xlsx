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 Victus\Desktop\"/>
    </mc:Choice>
  </mc:AlternateContent>
  <xr:revisionPtr revIDLastSave="0" documentId="13_ncr:1_{77185E29-1AA1-4F26-BAEA-3B6FC6C4350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TAMOS" sheetId="1" r:id="rId1"/>
    <sheet name="CUOTAS" sheetId="2" r:id="rId2"/>
    <sheet name="borrador KPIS (no modificar)" sheetId="4" state="hidden" r:id="rId3"/>
    <sheet name="Tablas" sheetId="6" r:id="rId4"/>
    <sheet name="TABLERO" sheetId="5" r:id="rId5"/>
  </sheets>
  <definedNames>
    <definedName name="_xlcn.WorksheetConnection_TECIPRESTAMOS_MODELO_RELACIONAL.xlsxTBL_CUOTAS1" hidden="1">TBL_CUOTAS[]</definedName>
    <definedName name="_xlcn.WorksheetConnection_TECIPRESTAMOS_MODELO_RELACIONAL.xlsxTBL_PRESTAMOS1" hidden="1">TBL_PRESTAMOS[]</definedName>
    <definedName name="SegmentaciónDeDatos_CLIENTE">#N/A</definedName>
    <definedName name="SegmentaciónDeDatos_FECHA_CUOTA__año">#N/A</definedName>
    <definedName name="SegmentaciónDeDatos_FECHA_CUOTA__mes">#N/A</definedName>
    <definedName name="SegmentaciónDeDatos_FECHA_PRESTAMO__mes">#N/A</definedName>
    <definedName name="SegmentaciónDeDatos_PRESTAMISTA">#N/A</definedName>
  </definedNames>
  <calcPr calcId="191029"/>
  <pivotCaches>
    <pivotCache cacheId="1380" r:id="rId6"/>
    <pivotCache cacheId="1425" r:id="rId7"/>
    <pivotCache cacheId="1428" r:id="rId8"/>
    <pivotCache cacheId="1431" r:id="rId9"/>
    <pivotCache cacheId="1434" r:id="rId10"/>
    <pivotCache cacheId="1437" r:id="rId11"/>
    <pivotCache cacheId="1440" r:id="rId12"/>
    <pivotCache cacheId="1443" r:id="rId13"/>
    <pivotCache cacheId="1446" r:id="rId14"/>
    <pivotCache cacheId="1449" r:id="rId15"/>
    <pivotCache cacheId="1452" r:id="rId16"/>
    <pivotCache cacheId="1455" r:id="rId17"/>
    <pivotCache cacheId="1458" r:id="rId18"/>
    <pivotCache cacheId="1461" r:id="rId19"/>
    <pivotCache cacheId="1464" r:id="rId20"/>
  </pivotCaches>
  <extLst>
    <ext xmlns:x14="http://schemas.microsoft.com/office/spreadsheetml/2009/9/main" uri="{876F7934-8845-4945-9796-88D515C7AA90}">
      <x14:pivotCaches>
        <pivotCache cacheId="80" r:id="rId21"/>
      </x14:pivotCaches>
    </ex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  <x14:slicerCache r:id="rId25"/>
        <x14:slicerCache r:id="rId2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BL_PRESTAMOS" name="TBL_PRESTAMOS" connection="WorksheetConnection_TECIPRESTAMOS_MODELO_RELACIONAL.xlsx!TBL_PRESTAMOS"/>
          <x15:modelTable id="TBL_CUOTAS" name="TBL_CUOTAS" connection="WorksheetConnection_TECIPRESTAMOS_MODELO_RELACIONAL.xlsx!TBL_CUOTAS"/>
        </x15:modelTables>
        <x15:modelRelationships>
          <x15:modelRelationship fromTable="TBL_CUOTAS" fromColumn="ID_PRESTAMO" toTable="TBL_PRESTAMOS" toColumn="ID_PRESTAM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CUOTAS" columnName="FECHA_CUOTA" columnId="FECHA_CUOTA">
                <x16:calculatedTimeColumn columnName="FECHA_CUOTA (año)" columnId="FECHA_CUOTA (año)" contentType="years" isSelected="1"/>
                <x16:calculatedTimeColumn columnName="FECHA_CUOTA (trimestre)" columnId="FECHA_CUOTA (trimestre)" contentType="quarters" isSelected="1"/>
                <x16:calculatedTimeColumn columnName="FECHA_CUOTA (índice de meses)" columnId="FECHA_CUOTA (índice de meses)" contentType="monthsindex" isSelected="1"/>
                <x16:calculatedTimeColumn columnName="FECHA_CUOTA (mes)" columnId="FECHA_CUOTA (mes)" contentType="months" isSelected="1"/>
              </x16:modelTimeGrouping>
              <x16:modelTimeGrouping tableName="TBL_PRESTAMOS" columnName="FECHA_PRESTAMO" columnId="FECHA_PRESTAMO">
                <x16:calculatedTimeColumn columnName="FECHA_PRESTAMO (índice de meses)" columnId="FECHA_PRESTAMO (índice de meses)" contentType="monthsindex" isSelected="1"/>
                <x16:calculatedTimeColumn columnName="FECHA_PRESTAMO (mes)" columnId="FECHA_PRESTAM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0" i="4" l="1"/>
  <c r="J175" i="2"/>
  <c r="L175" i="2" s="1"/>
  <c r="I175" i="2"/>
  <c r="J174" i="2"/>
  <c r="K174" i="2" s="1"/>
  <c r="I174" i="2"/>
  <c r="J173" i="2"/>
  <c r="L173" i="2" s="1"/>
  <c r="I173" i="2"/>
  <c r="J172" i="2"/>
  <c r="L172" i="2" s="1"/>
  <c r="I172" i="2"/>
  <c r="J171" i="2"/>
  <c r="K171" i="2" s="1"/>
  <c r="I171" i="2"/>
  <c r="J170" i="2"/>
  <c r="L170" i="2" s="1"/>
  <c r="I170" i="2"/>
  <c r="J169" i="2"/>
  <c r="L169" i="2" s="1"/>
  <c r="I169" i="2"/>
  <c r="J168" i="2"/>
  <c r="K168" i="2" s="1"/>
  <c r="I168" i="2"/>
  <c r="J167" i="2"/>
  <c r="L167" i="2" s="1"/>
  <c r="I167" i="2"/>
  <c r="J166" i="2"/>
  <c r="L166" i="2" s="1"/>
  <c r="I166" i="2"/>
  <c r="J165" i="2"/>
  <c r="K165" i="2" s="1"/>
  <c r="I165" i="2"/>
  <c r="J164" i="2"/>
  <c r="L164" i="2" s="1"/>
  <c r="I164" i="2"/>
  <c r="J163" i="2"/>
  <c r="L163" i="2" s="1"/>
  <c r="I163" i="2"/>
  <c r="J162" i="2"/>
  <c r="K162" i="2" s="1"/>
  <c r="I162" i="2"/>
  <c r="J161" i="2"/>
  <c r="L161" i="2" s="1"/>
  <c r="I161" i="2"/>
  <c r="J160" i="2"/>
  <c r="L160" i="2" s="1"/>
  <c r="I160" i="2"/>
  <c r="J159" i="2"/>
  <c r="K159" i="2" s="1"/>
  <c r="I159" i="2"/>
  <c r="J158" i="2"/>
  <c r="L158" i="2" s="1"/>
  <c r="I158" i="2"/>
  <c r="J157" i="2"/>
  <c r="L157" i="2" s="1"/>
  <c r="I157" i="2"/>
  <c r="J156" i="2"/>
  <c r="K156" i="2" s="1"/>
  <c r="I156" i="2"/>
  <c r="J155" i="2"/>
  <c r="L155" i="2" s="1"/>
  <c r="I155" i="2"/>
  <c r="J154" i="2"/>
  <c r="L154" i="2" s="1"/>
  <c r="I154" i="2"/>
  <c r="J153" i="2"/>
  <c r="K153" i="2" s="1"/>
  <c r="I153" i="2"/>
  <c r="J152" i="2"/>
  <c r="L152" i="2" s="1"/>
  <c r="I152" i="2"/>
  <c r="J151" i="2"/>
  <c r="L151" i="2" s="1"/>
  <c r="I151" i="2"/>
  <c r="J150" i="2"/>
  <c r="K150" i="2" s="1"/>
  <c r="I150" i="2"/>
  <c r="J149" i="2"/>
  <c r="L149" i="2" s="1"/>
  <c r="I149" i="2"/>
  <c r="J148" i="2"/>
  <c r="L148" i="2" s="1"/>
  <c r="I148" i="2"/>
  <c r="J147" i="2"/>
  <c r="K147" i="2" s="1"/>
  <c r="I147" i="2"/>
  <c r="J146" i="2"/>
  <c r="L146" i="2" s="1"/>
  <c r="I146" i="2"/>
  <c r="J145" i="2"/>
  <c r="L145" i="2" s="1"/>
  <c r="I145" i="2"/>
  <c r="J144" i="2"/>
  <c r="K144" i="2" s="1"/>
  <c r="I144" i="2"/>
  <c r="J143" i="2"/>
  <c r="L143" i="2" s="1"/>
  <c r="I143" i="2"/>
  <c r="J142" i="2"/>
  <c r="L142" i="2" s="1"/>
  <c r="I142" i="2"/>
  <c r="J141" i="2"/>
  <c r="K141" i="2" s="1"/>
  <c r="I141" i="2"/>
  <c r="J140" i="2"/>
  <c r="L140" i="2" s="1"/>
  <c r="I140" i="2"/>
  <c r="J139" i="2"/>
  <c r="L139" i="2" s="1"/>
  <c r="I139" i="2"/>
  <c r="J138" i="2"/>
  <c r="K138" i="2" s="1"/>
  <c r="I138" i="2"/>
  <c r="J137" i="2"/>
  <c r="L137" i="2" s="1"/>
  <c r="I137" i="2"/>
  <c r="J136" i="2"/>
  <c r="L136" i="2" s="1"/>
  <c r="I136" i="2"/>
  <c r="J135" i="2"/>
  <c r="K135" i="2" s="1"/>
  <c r="I135" i="2"/>
  <c r="J134" i="2"/>
  <c r="L134" i="2" s="1"/>
  <c r="I134" i="2"/>
  <c r="J133" i="2"/>
  <c r="L133" i="2" s="1"/>
  <c r="I133" i="2"/>
  <c r="J132" i="2"/>
  <c r="K132" i="2" s="1"/>
  <c r="I132" i="2"/>
  <c r="J131" i="2"/>
  <c r="L131" i="2" s="1"/>
  <c r="I131" i="2"/>
  <c r="J130" i="2"/>
  <c r="L130" i="2" s="1"/>
  <c r="I130" i="2"/>
  <c r="J129" i="2"/>
  <c r="K129" i="2" s="1"/>
  <c r="I129" i="2"/>
  <c r="J128" i="2"/>
  <c r="L128" i="2" s="1"/>
  <c r="I128" i="2"/>
  <c r="J127" i="2"/>
  <c r="L127" i="2" s="1"/>
  <c r="I127" i="2"/>
  <c r="J126" i="2"/>
  <c r="K126" i="2" s="1"/>
  <c r="I126" i="2"/>
  <c r="J125" i="2"/>
  <c r="L125" i="2" s="1"/>
  <c r="I125" i="2"/>
  <c r="J124" i="2"/>
  <c r="L124" i="2" s="1"/>
  <c r="I124" i="2"/>
  <c r="J123" i="2"/>
  <c r="K123" i="2" s="1"/>
  <c r="I123" i="2"/>
  <c r="J122" i="2"/>
  <c r="L122" i="2" s="1"/>
  <c r="I122" i="2"/>
  <c r="J121" i="2"/>
  <c r="L121" i="2" s="1"/>
  <c r="I121" i="2"/>
  <c r="J120" i="2"/>
  <c r="K120" i="2" s="1"/>
  <c r="I120" i="2"/>
  <c r="J119" i="2"/>
  <c r="L119" i="2" s="1"/>
  <c r="I119" i="2"/>
  <c r="J118" i="2"/>
  <c r="L118" i="2" s="1"/>
  <c r="I118" i="2"/>
  <c r="J117" i="2"/>
  <c r="K117" i="2" s="1"/>
  <c r="I117" i="2"/>
  <c r="J116" i="2"/>
  <c r="L116" i="2" s="1"/>
  <c r="I116" i="2"/>
  <c r="J115" i="2"/>
  <c r="L115" i="2" s="1"/>
  <c r="I115" i="2"/>
  <c r="J114" i="2"/>
  <c r="K114" i="2" s="1"/>
  <c r="I114" i="2"/>
  <c r="J113" i="2"/>
  <c r="L113" i="2" s="1"/>
  <c r="I113" i="2"/>
  <c r="J112" i="2"/>
  <c r="L112" i="2" s="1"/>
  <c r="I112" i="2"/>
  <c r="J111" i="2"/>
  <c r="K111" i="2" s="1"/>
  <c r="I111" i="2"/>
  <c r="J110" i="2"/>
  <c r="L110" i="2" s="1"/>
  <c r="I110" i="2"/>
  <c r="J109" i="2"/>
  <c r="L109" i="2" s="1"/>
  <c r="I109" i="2"/>
  <c r="J108" i="2"/>
  <c r="K108" i="2" s="1"/>
  <c r="I108" i="2"/>
  <c r="J107" i="2"/>
  <c r="L107" i="2" s="1"/>
  <c r="I107" i="2"/>
  <c r="J106" i="2"/>
  <c r="L106" i="2" s="1"/>
  <c r="I106" i="2"/>
  <c r="J105" i="2"/>
  <c r="K105" i="2" s="1"/>
  <c r="I105" i="2"/>
  <c r="J104" i="2"/>
  <c r="L104" i="2" s="1"/>
  <c r="I104" i="2"/>
  <c r="J103" i="2"/>
  <c r="L103" i="2" s="1"/>
  <c r="I103" i="2"/>
  <c r="J102" i="2"/>
  <c r="K102" i="2" s="1"/>
  <c r="I102" i="2"/>
  <c r="J101" i="2"/>
  <c r="L101" i="2" s="1"/>
  <c r="I101" i="2"/>
  <c r="J100" i="2"/>
  <c r="L100" i="2" s="1"/>
  <c r="I100" i="2"/>
  <c r="J99" i="2"/>
  <c r="K99" i="2" s="1"/>
  <c r="I99" i="2"/>
  <c r="J98" i="2"/>
  <c r="L98" i="2" s="1"/>
  <c r="I98" i="2"/>
  <c r="J97" i="2"/>
  <c r="L97" i="2" s="1"/>
  <c r="I97" i="2"/>
  <c r="J96" i="2"/>
  <c r="K96" i="2" s="1"/>
  <c r="I96" i="2"/>
  <c r="J95" i="2"/>
  <c r="L95" i="2" s="1"/>
  <c r="I95" i="2"/>
  <c r="J94" i="2"/>
  <c r="L94" i="2" s="1"/>
  <c r="I94" i="2"/>
  <c r="J93" i="2"/>
  <c r="K93" i="2" s="1"/>
  <c r="I93" i="2"/>
  <c r="J92" i="2"/>
  <c r="L92" i="2" s="1"/>
  <c r="I92" i="2"/>
  <c r="J91" i="2"/>
  <c r="L91" i="2" s="1"/>
  <c r="I91" i="2"/>
  <c r="J90" i="2"/>
  <c r="K90" i="2" s="1"/>
  <c r="I90" i="2"/>
  <c r="J89" i="2"/>
  <c r="L89" i="2" s="1"/>
  <c r="I89" i="2"/>
  <c r="J88" i="2"/>
  <c r="L88" i="2" s="1"/>
  <c r="I88" i="2"/>
  <c r="J87" i="2"/>
  <c r="K87" i="2" s="1"/>
  <c r="I87" i="2"/>
  <c r="J86" i="2"/>
  <c r="L86" i="2" s="1"/>
  <c r="I86" i="2"/>
  <c r="J85" i="2"/>
  <c r="L85" i="2" s="1"/>
  <c r="I85" i="2"/>
  <c r="J84" i="2"/>
  <c r="K84" i="2" s="1"/>
  <c r="I84" i="2"/>
  <c r="J83" i="2"/>
  <c r="L83" i="2" s="1"/>
  <c r="I83" i="2"/>
  <c r="J82" i="2"/>
  <c r="L82" i="2" s="1"/>
  <c r="I82" i="2"/>
  <c r="J81" i="2"/>
  <c r="K81" i="2" s="1"/>
  <c r="I81" i="2"/>
  <c r="J80" i="2"/>
  <c r="L80" i="2" s="1"/>
  <c r="I80" i="2"/>
  <c r="J79" i="2"/>
  <c r="L79" i="2" s="1"/>
  <c r="I79" i="2"/>
  <c r="J78" i="2"/>
  <c r="K78" i="2" s="1"/>
  <c r="I78" i="2"/>
  <c r="J77" i="2"/>
  <c r="L77" i="2" s="1"/>
  <c r="I77" i="2"/>
  <c r="J76" i="2"/>
  <c r="L76" i="2" s="1"/>
  <c r="I76" i="2"/>
  <c r="J75" i="2"/>
  <c r="K75" i="2" s="1"/>
  <c r="I75" i="2"/>
  <c r="J74" i="2"/>
  <c r="L74" i="2" s="1"/>
  <c r="I74" i="2"/>
  <c r="J73" i="2"/>
  <c r="L73" i="2" s="1"/>
  <c r="I73" i="2"/>
  <c r="J72" i="2"/>
  <c r="K72" i="2" s="1"/>
  <c r="I72" i="2"/>
  <c r="J71" i="2"/>
  <c r="L71" i="2" s="1"/>
  <c r="I71" i="2"/>
  <c r="J70" i="2"/>
  <c r="L70" i="2" s="1"/>
  <c r="I70" i="2"/>
  <c r="J69" i="2"/>
  <c r="K69" i="2" s="1"/>
  <c r="I69" i="2"/>
  <c r="J68" i="2"/>
  <c r="L68" i="2" s="1"/>
  <c r="I68" i="2"/>
  <c r="J67" i="2"/>
  <c r="K67" i="2" s="1"/>
  <c r="I67" i="2"/>
  <c r="J66" i="2"/>
  <c r="K66" i="2" s="1"/>
  <c r="I66" i="2"/>
  <c r="J65" i="2"/>
  <c r="L65" i="2" s="1"/>
  <c r="I65" i="2"/>
  <c r="J64" i="2"/>
  <c r="L64" i="2" s="1"/>
  <c r="I64" i="2"/>
  <c r="J63" i="2"/>
  <c r="K63" i="2" s="1"/>
  <c r="I63" i="2"/>
  <c r="J62" i="2"/>
  <c r="L62" i="2" s="1"/>
  <c r="I62" i="2"/>
  <c r="J61" i="2"/>
  <c r="L61" i="2" s="1"/>
  <c r="I61" i="2"/>
  <c r="J60" i="2"/>
  <c r="K60" i="2" s="1"/>
  <c r="I60" i="2"/>
  <c r="J59" i="2"/>
  <c r="L59" i="2" s="1"/>
  <c r="I59" i="2"/>
  <c r="J58" i="2"/>
  <c r="L58" i="2" s="1"/>
  <c r="I58" i="2"/>
  <c r="J57" i="2"/>
  <c r="K57" i="2" s="1"/>
  <c r="I57" i="2"/>
  <c r="J56" i="2"/>
  <c r="L56" i="2" s="1"/>
  <c r="I56" i="2"/>
  <c r="J55" i="2"/>
  <c r="L55" i="2" s="1"/>
  <c r="I55" i="2"/>
  <c r="J54" i="2"/>
  <c r="K54" i="2" s="1"/>
  <c r="I54" i="2"/>
  <c r="J53" i="2"/>
  <c r="L53" i="2" s="1"/>
  <c r="I53" i="2"/>
  <c r="J52" i="2"/>
  <c r="L52" i="2" s="1"/>
  <c r="I52" i="2"/>
  <c r="J51" i="2"/>
  <c r="K51" i="2" s="1"/>
  <c r="I51" i="2"/>
  <c r="J50" i="2"/>
  <c r="L50" i="2" s="1"/>
  <c r="I50" i="2"/>
  <c r="J49" i="2"/>
  <c r="L49" i="2" s="1"/>
  <c r="I49" i="2"/>
  <c r="J48" i="2"/>
  <c r="K48" i="2" s="1"/>
  <c r="I48" i="2"/>
  <c r="J47" i="2"/>
  <c r="L47" i="2" s="1"/>
  <c r="I47" i="2"/>
  <c r="J46" i="2"/>
  <c r="L46" i="2" s="1"/>
  <c r="I46" i="2"/>
  <c r="J45" i="2"/>
  <c r="K45" i="2" s="1"/>
  <c r="I45" i="2"/>
  <c r="J44" i="2"/>
  <c r="L44" i="2" s="1"/>
  <c r="I44" i="2"/>
  <c r="J43" i="2"/>
  <c r="L43" i="2" s="1"/>
  <c r="I43" i="2"/>
  <c r="J42" i="2"/>
  <c r="K42" i="2" s="1"/>
  <c r="I42" i="2"/>
  <c r="J41" i="2"/>
  <c r="L41" i="2" s="1"/>
  <c r="I41" i="2"/>
  <c r="J40" i="2"/>
  <c r="L40" i="2" s="1"/>
  <c r="I40" i="2"/>
  <c r="J39" i="2"/>
  <c r="K39" i="2" s="1"/>
  <c r="I39" i="2"/>
  <c r="J38" i="2"/>
  <c r="L38" i="2" s="1"/>
  <c r="I38" i="2"/>
  <c r="J37" i="2"/>
  <c r="L37" i="2" s="1"/>
  <c r="I37" i="2"/>
  <c r="J36" i="2"/>
  <c r="K36" i="2" s="1"/>
  <c r="I36" i="2"/>
  <c r="J35" i="2"/>
  <c r="L35" i="2" s="1"/>
  <c r="I35" i="2"/>
  <c r="J34" i="2"/>
  <c r="K34" i="2" s="1"/>
  <c r="I34" i="2"/>
  <c r="J33" i="2"/>
  <c r="K33" i="2" s="1"/>
  <c r="I33" i="2"/>
  <c r="J32" i="2"/>
  <c r="L32" i="2" s="1"/>
  <c r="I32" i="2"/>
  <c r="J31" i="2"/>
  <c r="L31" i="2" s="1"/>
  <c r="I31" i="2"/>
  <c r="J30" i="2"/>
  <c r="K30" i="2" s="1"/>
  <c r="I30" i="2"/>
  <c r="J29" i="2"/>
  <c r="L29" i="2" s="1"/>
  <c r="I29" i="2"/>
  <c r="J28" i="2"/>
  <c r="L28" i="2" s="1"/>
  <c r="I28" i="2"/>
  <c r="J27" i="2"/>
  <c r="K27" i="2" s="1"/>
  <c r="I27" i="2"/>
  <c r="J26" i="2"/>
  <c r="L26" i="2" s="1"/>
  <c r="I26" i="2"/>
  <c r="J25" i="2"/>
  <c r="L25" i="2" s="1"/>
  <c r="I25" i="2"/>
  <c r="J24" i="2"/>
  <c r="K24" i="2" s="1"/>
  <c r="I24" i="2"/>
  <c r="J23" i="2"/>
  <c r="L23" i="2" s="1"/>
  <c r="I23" i="2"/>
  <c r="J22" i="2"/>
  <c r="L22" i="2" s="1"/>
  <c r="I22" i="2"/>
  <c r="J21" i="2"/>
  <c r="K21" i="2" s="1"/>
  <c r="I21" i="2"/>
  <c r="J20" i="2"/>
  <c r="L20" i="2" s="1"/>
  <c r="I20" i="2"/>
  <c r="J19" i="2"/>
  <c r="L19" i="2" s="1"/>
  <c r="I19" i="2"/>
  <c r="J18" i="2"/>
  <c r="K18" i="2" s="1"/>
  <c r="I18" i="2"/>
  <c r="J17" i="2"/>
  <c r="L17" i="2" s="1"/>
  <c r="I17" i="2"/>
  <c r="J16" i="2"/>
  <c r="K16" i="2" s="1"/>
  <c r="I16" i="2"/>
  <c r="J15" i="2"/>
  <c r="K15" i="2" s="1"/>
  <c r="I15" i="2"/>
  <c r="J14" i="2"/>
  <c r="L14" i="2" s="1"/>
  <c r="I14" i="2"/>
  <c r="J13" i="2"/>
  <c r="L13" i="2" s="1"/>
  <c r="I13" i="2"/>
  <c r="J12" i="2"/>
  <c r="K12" i="2" s="1"/>
  <c r="I12" i="2"/>
  <c r="J11" i="2"/>
  <c r="L11" i="2" s="1"/>
  <c r="I11" i="2"/>
  <c r="J10" i="2"/>
  <c r="L10" i="2" s="1"/>
  <c r="I10" i="2"/>
  <c r="J9" i="2"/>
  <c r="K9" i="2" s="1"/>
  <c r="I9" i="2"/>
  <c r="J8" i="2"/>
  <c r="L8" i="2" s="1"/>
  <c r="I8" i="2"/>
  <c r="J7" i="2"/>
  <c r="L7" i="2" s="1"/>
  <c r="I7" i="2"/>
  <c r="J6" i="2"/>
  <c r="K6" i="2" s="1"/>
  <c r="I6" i="2"/>
  <c r="J5" i="2"/>
  <c r="L5" i="2" s="1"/>
  <c r="I5" i="2"/>
  <c r="J4" i="2"/>
  <c r="L4" i="2" s="1"/>
  <c r="I4" i="2"/>
  <c r="J3" i="2"/>
  <c r="K3" i="2" s="1"/>
  <c r="I3" i="2"/>
  <c r="J2" i="2"/>
  <c r="L2" i="2" s="1"/>
  <c r="I2" i="2"/>
  <c r="B79" i="4"/>
  <c r="D79" i="4"/>
  <c r="J40" i="4"/>
  <c r="N21" i="4"/>
  <c r="L36" i="4"/>
  <c r="O27" i="4"/>
  <c r="D83" i="4" l="1"/>
  <c r="L174" i="2"/>
  <c r="L3" i="2"/>
  <c r="L9" i="2"/>
  <c r="L15" i="2"/>
  <c r="L21" i="2"/>
  <c r="L27" i="2"/>
  <c r="L36" i="2"/>
  <c r="L39" i="2"/>
  <c r="L45" i="2"/>
  <c r="L54" i="2"/>
  <c r="L57" i="2"/>
  <c r="L63" i="2"/>
  <c r="L72" i="2"/>
  <c r="L78" i="2"/>
  <c r="L84" i="2"/>
  <c r="L90" i="2"/>
  <c r="L99" i="2"/>
  <c r="L105" i="2"/>
  <c r="L111" i="2"/>
  <c r="L117" i="2"/>
  <c r="L123" i="2"/>
  <c r="L129" i="2"/>
  <c r="L135" i="2"/>
  <c r="L138" i="2"/>
  <c r="L144" i="2"/>
  <c r="L147" i="2"/>
  <c r="L150" i="2"/>
  <c r="L153" i="2"/>
  <c r="L156" i="2"/>
  <c r="L159" i="2"/>
  <c r="L162" i="2"/>
  <c r="L165" i="2"/>
  <c r="L168" i="2"/>
  <c r="L6" i="2"/>
  <c r="L12" i="2"/>
  <c r="L18" i="2"/>
  <c r="L24" i="2"/>
  <c r="L30" i="2"/>
  <c r="L33" i="2"/>
  <c r="L42" i="2"/>
  <c r="L48" i="2"/>
  <c r="L51" i="2"/>
  <c r="L60" i="2"/>
  <c r="L66" i="2"/>
  <c r="L69" i="2"/>
  <c r="L75" i="2"/>
  <c r="L81" i="2"/>
  <c r="L87" i="2"/>
  <c r="L93" i="2"/>
  <c r="L96" i="2"/>
  <c r="L102" i="2"/>
  <c r="L108" i="2"/>
  <c r="L114" i="2"/>
  <c r="L120" i="2"/>
  <c r="L126" i="2"/>
  <c r="L132" i="2"/>
  <c r="L141" i="2"/>
  <c r="L171" i="2"/>
  <c r="K4" i="2"/>
  <c r="K13" i="2"/>
  <c r="K22" i="2"/>
  <c r="K31" i="2"/>
  <c r="K40" i="2"/>
  <c r="K46" i="2"/>
  <c r="K49" i="2"/>
  <c r="K52" i="2"/>
  <c r="K55" i="2"/>
  <c r="K58" i="2"/>
  <c r="K64" i="2"/>
  <c r="K70" i="2"/>
  <c r="K73" i="2"/>
  <c r="K76" i="2"/>
  <c r="K79" i="2"/>
  <c r="K82" i="2"/>
  <c r="K85" i="2"/>
  <c r="K88" i="2"/>
  <c r="K91" i="2"/>
  <c r="K94" i="2"/>
  <c r="K97" i="2"/>
  <c r="K100" i="2"/>
  <c r="K103" i="2"/>
  <c r="K106" i="2"/>
  <c r="K109" i="2"/>
  <c r="K112" i="2"/>
  <c r="K115" i="2"/>
  <c r="K118" i="2"/>
  <c r="K121" i="2"/>
  <c r="K124" i="2"/>
  <c r="K127" i="2"/>
  <c r="K130" i="2"/>
  <c r="K133" i="2"/>
  <c r="K136" i="2"/>
  <c r="K139" i="2"/>
  <c r="K142" i="2"/>
  <c r="K145" i="2"/>
  <c r="K148" i="2"/>
  <c r="K151" i="2"/>
  <c r="K154" i="2"/>
  <c r="K157" i="2"/>
  <c r="K160" i="2"/>
  <c r="K163" i="2"/>
  <c r="K166" i="2"/>
  <c r="K169" i="2"/>
  <c r="K172" i="2"/>
  <c r="K175" i="2"/>
  <c r="K10" i="2"/>
  <c r="K19" i="2"/>
  <c r="K28" i="2"/>
  <c r="K37" i="2"/>
  <c r="K61" i="2"/>
  <c r="L16" i="2"/>
  <c r="L34" i="2"/>
  <c r="L67" i="2"/>
  <c r="K7" i="2"/>
  <c r="K25" i="2"/>
  <c r="K43" i="2"/>
  <c r="K2" i="2"/>
  <c r="K5" i="2"/>
  <c r="K8" i="2"/>
  <c r="K11" i="2"/>
  <c r="K14" i="2"/>
  <c r="K17" i="2"/>
  <c r="K20" i="2"/>
  <c r="K23" i="2"/>
  <c r="K26" i="2"/>
  <c r="K29" i="2"/>
  <c r="K32" i="2"/>
  <c r="K35" i="2"/>
  <c r="K38" i="2"/>
  <c r="K41" i="2"/>
  <c r="K44" i="2"/>
  <c r="K47" i="2"/>
  <c r="K50" i="2"/>
  <c r="K53" i="2"/>
  <c r="K56" i="2"/>
  <c r="K59" i="2"/>
  <c r="K62" i="2"/>
  <c r="K65" i="2"/>
  <c r="K68" i="2"/>
  <c r="K71" i="2"/>
  <c r="K74" i="2"/>
  <c r="K77" i="2"/>
  <c r="K80" i="2"/>
  <c r="K83" i="2"/>
  <c r="K86" i="2"/>
  <c r="K89" i="2"/>
  <c r="K92" i="2"/>
  <c r="K95" i="2"/>
  <c r="K98" i="2"/>
  <c r="K101" i="2"/>
  <c r="K104" i="2"/>
  <c r="K107" i="2"/>
  <c r="K110" i="2"/>
  <c r="K113" i="2"/>
  <c r="K116" i="2"/>
  <c r="K119" i="2"/>
  <c r="K122" i="2"/>
  <c r="K125" i="2"/>
  <c r="K128" i="2"/>
  <c r="K131" i="2"/>
  <c r="K134" i="2"/>
  <c r="K137" i="2"/>
  <c r="K140" i="2"/>
  <c r="K143" i="2"/>
  <c r="K146" i="2"/>
  <c r="K149" i="2"/>
  <c r="K152" i="2"/>
  <c r="K155" i="2"/>
  <c r="K158" i="2"/>
  <c r="K161" i="2"/>
  <c r="K164" i="2"/>
  <c r="K167" i="2"/>
  <c r="K170" i="2"/>
  <c r="K1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7B3EEA-A397-4B86-8D7A-8CB2F4840FB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1DF3DE6-9E0C-438C-BA77-3732A68EC6EB}" name="WorksheetConnection_TECIPRESTAMOS_MODELO_RELACIONAL.xlsx!TBL_CUOTAS" type="102" refreshedVersion="8" minRefreshableVersion="5">
    <extLst>
      <ext xmlns:x15="http://schemas.microsoft.com/office/spreadsheetml/2010/11/main" uri="{DE250136-89BD-433C-8126-D09CA5730AF9}">
        <x15:connection id="TBL_CUOTAS">
          <x15:rangePr sourceName="_xlcn.WorksheetConnection_TECIPRESTAMOS_MODELO_RELACIONAL.xlsxTBL_CUOTAS1"/>
        </x15:connection>
      </ext>
    </extLst>
  </connection>
  <connection id="3" xr16:uid="{C1DE20BF-365A-428C-8F32-FF0E87FEF96C}" name="WorksheetConnection_TECIPRESTAMOS_MODELO_RELACIONAL.xlsx!TBL_PRESTAMOS" type="102" refreshedVersion="8" minRefreshableVersion="5">
    <extLst>
      <ext xmlns:x15="http://schemas.microsoft.com/office/spreadsheetml/2010/11/main" uri="{DE250136-89BD-433C-8126-D09CA5730AF9}">
        <x15:connection id="TBL_PRESTAMOS">
          <x15:rangePr sourceName="_xlcn.WorksheetConnection_TECIPRESTAMOS_MODELO_RELACIONAL.xlsxTBL_PRESTAMOS1"/>
        </x15:connection>
      </ext>
    </extLst>
  </connection>
</connections>
</file>

<file path=xl/sharedStrings.xml><?xml version="1.0" encoding="utf-8"?>
<sst xmlns="http://schemas.openxmlformats.org/spreadsheetml/2006/main" count="948" uniqueCount="134">
  <si>
    <t>ID_PRESTAMO</t>
  </si>
  <si>
    <t>PRESTAMISTA</t>
  </si>
  <si>
    <t>FECHA_PRESTAMO</t>
  </si>
  <si>
    <t>MONTO_PRESTAMO</t>
  </si>
  <si>
    <t>CUOTA_TIPICA</t>
  </si>
  <si>
    <t>FRANCO VARELA</t>
  </si>
  <si>
    <t>NICOLAS TECILLA</t>
  </si>
  <si>
    <t>DANIELA SUAREZ</t>
  </si>
  <si>
    <t>DILAN MONTAÑA - POCHI</t>
  </si>
  <si>
    <t>PAMELA MEDINA</t>
  </si>
  <si>
    <t>GABRIEL TECILLA</t>
  </si>
  <si>
    <t>TIZIANA TECILLA</t>
  </si>
  <si>
    <t>MACARENA ÑAÑEZ</t>
  </si>
  <si>
    <t>GABRIELA VERONICA OLMOS</t>
  </si>
  <si>
    <t>FABRICIO GALLO</t>
  </si>
  <si>
    <t>MARIA ELENA TORRES</t>
  </si>
  <si>
    <t>GORDO SANTILLAN</t>
  </si>
  <si>
    <t>LEONARDO ANDRADA</t>
  </si>
  <si>
    <t>DAMARIS SOLEDAD ARGUELLO</t>
  </si>
  <si>
    <t>ROSA CARLOS</t>
  </si>
  <si>
    <t>GUILLERMO MARTINEZ</t>
  </si>
  <si>
    <t>NATALIA CORREA</t>
  </si>
  <si>
    <t>BRENDA MICAELA MOYANO</t>
  </si>
  <si>
    <t>CEFERINO EZEQUIEL CASTRO</t>
  </si>
  <si>
    <t>PATRICIA DIAZ (MAMA YANI)</t>
  </si>
  <si>
    <t>YOLANDA SILVA</t>
  </si>
  <si>
    <t>CLAUDIO LUDUEÑA</t>
  </si>
  <si>
    <t>ROCIO ESQUIBEL</t>
  </si>
  <si>
    <t>TAMARA TECILLA</t>
  </si>
  <si>
    <t>GISELA ROMERO</t>
  </si>
  <si>
    <t>NEGRO VEGA</t>
  </si>
  <si>
    <t>LEILA SHAKIRA</t>
  </si>
  <si>
    <t>LEANRDO ORELLANO</t>
  </si>
  <si>
    <t>CHRISTOFER ALEX RUBINI</t>
  </si>
  <si>
    <t>DIEGO SUAREZ - PELIN</t>
  </si>
  <si>
    <t>YANINA FABIANA PERALTA</t>
  </si>
  <si>
    <t>QUINTEROS JAVIERO</t>
  </si>
  <si>
    <t>ANALIA TAPIA</t>
  </si>
  <si>
    <t>ARCE GUSTAVO</t>
  </si>
  <si>
    <t>LEANDRO BUSTOS</t>
  </si>
  <si>
    <t>RICARDO OLMEDO- TIO MILI</t>
  </si>
  <si>
    <t>MARCELO GODOY</t>
  </si>
  <si>
    <t>HERNESTO LUJAN</t>
  </si>
  <si>
    <t>NORMA ESQUIVEL</t>
  </si>
  <si>
    <t>LAUTARO GODOY</t>
  </si>
  <si>
    <t>NAHIR GOMEZ</t>
  </si>
  <si>
    <t>LOURDES ARAMBURO</t>
  </si>
  <si>
    <t>YAMILA MONJES</t>
  </si>
  <si>
    <t>TERESA ROSA AVILA</t>
  </si>
  <si>
    <t>RODRIGUEZ JUAN</t>
  </si>
  <si>
    <t>DILAN MONTAÑA</t>
  </si>
  <si>
    <t>CELESTE CORZO</t>
  </si>
  <si>
    <t>NOELIA VERONICA PEDERNERA</t>
  </si>
  <si>
    <t>GUSTAVO ZAPATA</t>
  </si>
  <si>
    <t>LEONADRO TECILLA - DIAZ TRANSITO P</t>
  </si>
  <si>
    <t>MIGUEL ALLENDE</t>
  </si>
  <si>
    <t>RICARDO ESTEBAN FARIAS</t>
  </si>
  <si>
    <t>BRISA ESQUIVEL</t>
  </si>
  <si>
    <t>LOPEZ CELESTE ESTEFANIA</t>
  </si>
  <si>
    <t>MARIA (FRENTE)</t>
  </si>
  <si>
    <t>NADIA TECILLA</t>
  </si>
  <si>
    <t>FLORENCIA AGUSTINA BUSTOS</t>
  </si>
  <si>
    <t>CRISTIAN OLMEDO</t>
  </si>
  <si>
    <t>MOYA CINTIA ROMINA</t>
  </si>
  <si>
    <t>DILAN OMAR ALBARRACIN</t>
  </si>
  <si>
    <t>RICARDO MONIER</t>
  </si>
  <si>
    <t>NICO ALBAÑIL</t>
  </si>
  <si>
    <t>GABRIEL GONZALES</t>
  </si>
  <si>
    <t>AXEL FARIAS</t>
  </si>
  <si>
    <t>MARIA BEATRIZ LEZCANO (COMPAÑERA NATY)</t>
  </si>
  <si>
    <t>VERONICA SOLEDAD GOMEZ</t>
  </si>
  <si>
    <t>JORGE ZAPATA</t>
  </si>
  <si>
    <t>ANGEL GONZALES</t>
  </si>
  <si>
    <t>TAMARA TAPIA</t>
  </si>
  <si>
    <t>AXEL ARAMBURO</t>
  </si>
  <si>
    <t>ANA CORZO</t>
  </si>
  <si>
    <t>NRO_CUOTA</t>
  </si>
  <si>
    <t>FECHA_CUOTA</t>
  </si>
  <si>
    <t>MONTO_CUOTA</t>
  </si>
  <si>
    <t>ESTADO</t>
  </si>
  <si>
    <t>Etiquetas de fila</t>
  </si>
  <si>
    <t>Total general</t>
  </si>
  <si>
    <t>Suma de MONTO_CUOTA</t>
  </si>
  <si>
    <t>MONTO_PAGADO</t>
  </si>
  <si>
    <t>INGRESO</t>
  </si>
  <si>
    <t>Total</t>
  </si>
  <si>
    <t>Impago</t>
  </si>
  <si>
    <t>2025</t>
  </si>
  <si>
    <t>nov</t>
  </si>
  <si>
    <t>dic</t>
  </si>
  <si>
    <t>2026</t>
  </si>
  <si>
    <t>ene</t>
  </si>
  <si>
    <t>feb</t>
  </si>
  <si>
    <t>mar</t>
  </si>
  <si>
    <t>abr</t>
  </si>
  <si>
    <t>Suma de INGRESO</t>
  </si>
  <si>
    <t>CUOTA_ATRASADA</t>
  </si>
  <si>
    <t>TOTAL PRESTADO
prestamista - mes</t>
  </si>
  <si>
    <t>TOTAL PRESTADO
prestamista - cliente</t>
  </si>
  <si>
    <t>TOTAL PRESTADO
Por cliente</t>
  </si>
  <si>
    <t>Cliente</t>
  </si>
  <si>
    <t>Prestamista</t>
  </si>
  <si>
    <t>DEUDA_ATRASADA</t>
  </si>
  <si>
    <t>CUOTAS_ATRASADAS</t>
  </si>
  <si>
    <t>CLIENTES CON CUOTAS ATRASADAS
(Pasado de vencimiento)</t>
  </si>
  <si>
    <t>Cuotas atrasadas</t>
  </si>
  <si>
    <t>Saldo atrasado</t>
  </si>
  <si>
    <t>CLIENTE</t>
  </si>
  <si>
    <t>CANT_CUOTAS</t>
  </si>
  <si>
    <t>INGRESO POR MES
prestamista - cliente</t>
  </si>
  <si>
    <t>Al día</t>
  </si>
  <si>
    <t>Morosos</t>
  </si>
  <si>
    <t>Estado del prestamo</t>
  </si>
  <si>
    <t>Cantidad de cuotas</t>
  </si>
  <si>
    <t>PRESTAMOS AL DIA</t>
  </si>
  <si>
    <t>Monto prestamo</t>
  </si>
  <si>
    <t>Cantidad de prestamos</t>
  </si>
  <si>
    <t>A cobrar en 30 dias</t>
  </si>
  <si>
    <t>Esperado</t>
  </si>
  <si>
    <t>Ingreso</t>
  </si>
  <si>
    <t>CONTROL DE PRESTAMOS</t>
  </si>
  <si>
    <t>Suma de DEUDA_ATRASADA</t>
  </si>
  <si>
    <t>SALDO EN MORA POR MES
(GRAFICO)</t>
  </si>
  <si>
    <t>CLIENTES CON CUOTAS ATRASADAS (GRAFICO)
(Pasado de vencimiento)</t>
  </si>
  <si>
    <t>INGRESOS ESPERADOS (GRAFICO)</t>
  </si>
  <si>
    <t>CLIENTES EN MORA (GRAFICO)</t>
  </si>
  <si>
    <t>PREST-1</t>
  </si>
  <si>
    <t>PREST-2</t>
  </si>
  <si>
    <t>PREST-3</t>
  </si>
  <si>
    <t>PREST-4</t>
  </si>
  <si>
    <t>PREST-5</t>
  </si>
  <si>
    <t>PREST-1 - GORRAS</t>
  </si>
  <si>
    <t>Ganancia</t>
  </si>
  <si>
    <t>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</si>
</sst>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* #,##0.00_-;\-&quot;$&quot;* #,##0.00_-;_-&quot;$&quot;* &quot;-&quot;??_-;_-@_-"/>
    <numFmt numFmtId="164" formatCode="&quot;$&quot;#,##0.00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26"/>
      <color theme="3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164" fontId="0" fillId="0" borderId="0" xfId="1" applyNumberFormat="1" applyFont="1"/>
    <xf numFmtId="49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1" applyNumberFormat="1" applyFont="1"/>
    <xf numFmtId="0" fontId="0" fillId="0" borderId="4" xfId="0" applyBorder="1"/>
    <xf numFmtId="0" fontId="0" fillId="3" borderId="0" xfId="0" applyFill="1"/>
    <xf numFmtId="165" fontId="0" fillId="3" borderId="0" xfId="0" applyNumberFormat="1" applyFill="1"/>
    <xf numFmtId="0" fontId="0" fillId="0" borderId="3" xfId="0" applyBorder="1"/>
    <xf numFmtId="165" fontId="0" fillId="3" borderId="5" xfId="0" applyNumberFormat="1" applyFill="1" applyBorder="1"/>
    <xf numFmtId="165" fontId="0" fillId="0" borderId="0" xfId="0" applyNumberFormat="1"/>
    <xf numFmtId="0" fontId="4" fillId="2" borderId="0" xfId="3" applyFont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4" fillId="2" borderId="0" xfId="3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0" borderId="1" xfId="2" applyFont="1" applyAlignment="1">
      <alignment horizontal="left" vertical="center"/>
    </xf>
    <xf numFmtId="0" fontId="0" fillId="0" borderId="0" xfId="0" applyNumberFormat="1"/>
    <xf numFmtId="0" fontId="0" fillId="0" borderId="3" xfId="0" applyNumberFormat="1" applyBorder="1"/>
    <xf numFmtId="0" fontId="0" fillId="0" borderId="0" xfId="0" applyBorder="1" applyAlignment="1">
      <alignment horizontal="left"/>
    </xf>
    <xf numFmtId="164" fontId="0" fillId="0" borderId="0" xfId="0" applyNumberFormat="1" applyBorder="1"/>
    <xf numFmtId="0" fontId="0" fillId="0" borderId="0" xfId="0" pivotButton="1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10" fontId="0" fillId="3" borderId="0" xfId="0" applyNumberFormat="1" applyFill="1"/>
  </cellXfs>
  <cellStyles count="4">
    <cellStyle name="Encabezado 1" xfId="2" builtinId="16"/>
    <cellStyle name="Entrada" xfId="3" builtinId="20"/>
    <cellStyle name="Moneda" xfId="1" builtinId="4"/>
    <cellStyle name="Normal" xfId="0" builtinId="0"/>
  </cellStyles>
  <dxfs count="73">
    <dxf>
      <numFmt numFmtId="164" formatCode="&quot;$&quot;#,##0.00"/>
    </dxf>
    <dxf>
      <numFmt numFmtId="164" formatCode="&quot;$&quot;#,##0.00"/>
    </dxf>
    <dxf>
      <alignment horizontal="right"/>
    </dxf>
    <dxf>
      <alignment horizontal="left"/>
    </dxf>
    <dxf>
      <alignment vertical="center"/>
    </dxf>
    <dxf>
      <alignment vertic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alignment horizontal="right"/>
    </dxf>
    <dxf>
      <alignment horizontal="left"/>
    </dxf>
    <dxf>
      <alignment vertical="center"/>
    </dxf>
    <dxf>
      <alignment vertical="center"/>
    </dxf>
    <dxf>
      <alignment horizont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/>
    </dxf>
    <dxf>
      <alignment horizontal="left"/>
    </dxf>
    <dxf>
      <alignment vertical="center"/>
    </dxf>
    <dxf>
      <alignment vertical="center"/>
    </dxf>
    <dxf>
      <alignment horizont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4" formatCode="&quot;$&quot;#,##0.00"/>
    </dxf>
    <dxf>
      <numFmt numFmtId="164" formatCode="&quot;$&quot;#,##0.00"/>
    </dxf>
    <dxf>
      <alignment horizontal="right"/>
    </dxf>
    <dxf>
      <alignment horizontal="left"/>
    </dxf>
    <dxf>
      <alignment vertical="center"/>
    </dxf>
    <dxf>
      <alignment vertic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dd/mm/yyyy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fill>
        <patternFill>
          <bgColor theme="3" tint="-0.24994659260841701"/>
        </patternFill>
      </fill>
    </dxf>
  </dxfs>
  <tableStyles count="2" defaultTableStyle="TableStyleMedium2" defaultPivotStyle="PivotStyleLight16">
    <tableStyle name="Estilo de segmentación de datos 1" pivot="0" table="0" count="1" xr9:uid="{A44CAF88-2535-46AC-9FB3-B1DA19124653}">
      <tableStyleElement type="wholeTable" dxfId="72"/>
    </tableStyle>
    <tableStyle name="Invisible" pivot="0" table="0" count="0" xr9:uid="{3873AC88-BEFC-4523-8BB5-94C5AF36AA09}"/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26" Type="http://schemas.microsoft.com/office/2007/relationships/slicerCache" Target="slicerCaches/slicerCache5.xml"/><Relationship Id="rId39" Type="http://schemas.openxmlformats.org/officeDocument/2006/relationships/customXml" Target="../customXml/item7.xml"/><Relationship Id="rId21" Type="http://schemas.openxmlformats.org/officeDocument/2006/relationships/pivotCacheDefinition" Target="pivotCache/pivotCacheDefinition16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9" Type="http://schemas.openxmlformats.org/officeDocument/2006/relationships/styles" Target="styles.xml"/><Relationship Id="rId11" Type="http://schemas.openxmlformats.org/officeDocument/2006/relationships/pivotCacheDefinition" Target="pivotCache/pivotCacheDefinition6.xml"/><Relationship Id="rId24" Type="http://schemas.microsoft.com/office/2007/relationships/slicerCache" Target="slicerCaches/slicerCache3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microsoft.com/office/2007/relationships/slicerCache" Target="slicerCaches/slicerCache2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pivotCacheDefinition" Target="pivotCache/pivotCacheDefinition14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microsoft.com/office/2007/relationships/slicerCache" Target="slicerCaches/slicerCache1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microsoft.com/office/2007/relationships/slicerCache" Target="slicerCaches/slicerCache4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20" Type="http://schemas.openxmlformats.org/officeDocument/2006/relationships/pivotCacheDefinition" Target="pivotCache/pivotCacheDefinition15.xml"/><Relationship Id="rId41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[dashboard_prestamos.xlsx]Tablas!Tabla_esperado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MX"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INGRESOS REALES VS INGRESOS ESPERADOS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MX" sz="18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2435471214984073E-2"/>
              <c:y val="9.2228412741754643E-3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6711564529986923E-2"/>
              <c:y val="-1.1272231339547234E-16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5988877507962528E-3"/>
              <c:y val="-2.43727612323405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4803595634987824E-2"/>
              <c:y val="-1.1272231339547234E-16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376653306598621E-2"/>
          <c:y val="0.10029986172776009"/>
          <c:w val="0.8284073823866116"/>
          <c:h val="0.770152771154165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Tablas!$B$2</c:f>
              <c:strCache>
                <c:ptCount val="1"/>
                <c:pt idx="0">
                  <c:v>Esperado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BC5-43F5-B345-AEF71A39A562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Tablas!$A$3:$A$11</c:f>
              <c:multiLvlStrCache>
                <c:ptCount val="6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Tablas!$B$3:$B$11</c:f>
              <c:numCache>
                <c:formatCode>"$"#,##0.00</c:formatCode>
                <c:ptCount val="6"/>
                <c:pt idx="0">
                  <c:v>1584000</c:v>
                </c:pt>
                <c:pt idx="1">
                  <c:v>11064940.6667</c:v>
                </c:pt>
                <c:pt idx="2">
                  <c:v>4417440.6666999999</c:v>
                </c:pt>
                <c:pt idx="3">
                  <c:v>1406190.6666999999</c:v>
                </c:pt>
                <c:pt idx="4">
                  <c:v>579524</c:v>
                </c:pt>
                <c:pt idx="5">
                  <c:v>579524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A6-40CD-9015-981C775EE74C}"/>
            </c:ext>
          </c:extLst>
        </c:ser>
        <c:ser>
          <c:idx val="1"/>
          <c:order val="1"/>
          <c:tx>
            <c:strRef>
              <c:f>Tablas!$C$2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BC5-43F5-B345-AEF71A39A56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BC5-43F5-B345-AEF71A39A56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BC5-43F5-B345-AEF71A39A56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BC5-43F5-B345-AEF71A39A56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BC5-43F5-B345-AEF71A39A56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BC5-43F5-B345-AEF71A39A562}"/>
              </c:ext>
            </c:extLst>
          </c:dPt>
          <c:dLbls>
            <c:dLbl>
              <c:idx val="0"/>
              <c:layout>
                <c:manualLayout>
                  <c:x val="3.2435471214984073E-2"/>
                  <c:y val="9.222841274175464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C5-43F5-B345-AEF71A39A562}"/>
                </c:ext>
              </c:extLst>
            </c:dLbl>
            <c:dLbl>
              <c:idx val="1"/>
              <c:layout>
                <c:manualLayout>
                  <c:x val="2.6711564529986923E-2"/>
                  <c:y val="-1.127223133954723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C5-43F5-B345-AEF71A39A562}"/>
                </c:ext>
              </c:extLst>
            </c:dLbl>
            <c:dLbl>
              <c:idx val="2"/>
              <c:layout>
                <c:manualLayout>
                  <c:x val="2.4803595634987824E-2"/>
                  <c:y val="-1.127223133954723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C5-43F5-B345-AEF71A39A56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C5-43F5-B345-AEF71A39A56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C5-43F5-B345-AEF71A39A56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C5-43F5-B345-AEF71A39A562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Tablas!$A$3:$A$11</c:f>
              <c:multiLvlStrCache>
                <c:ptCount val="6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Tablas!$C$3:$C$11</c:f>
              <c:numCache>
                <c:formatCode>"$"#,##0.00</c:formatCode>
                <c:ptCount val="6"/>
                <c:pt idx="0">
                  <c:v>1345000</c:v>
                </c:pt>
                <c:pt idx="1">
                  <c:v>1936482</c:v>
                </c:pt>
                <c:pt idx="2">
                  <c:v>283500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A6-40CD-9015-981C775EE7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3344447"/>
        <c:axId val="203344927"/>
      </c:barChart>
      <c:catAx>
        <c:axId val="20334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344927"/>
        <c:crosses val="autoZero"/>
        <c:auto val="1"/>
        <c:lblAlgn val="ctr"/>
        <c:lblOffset val="100"/>
        <c:noMultiLvlLbl val="0"/>
      </c:catAx>
      <c:valAx>
        <c:axId val="203344927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20334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[dashboard_prestamos.xlsx]borrador KPIS (no modificar)!TablaDinámica15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MX"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SALDO EN MORA -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MX" sz="18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'borrador KPIS (no modificar)'!$R$26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18C6-43DE-AEBF-E0F8E693F958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18C6-43DE-AEBF-E0F8E693F958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18C6-43DE-AEBF-E0F8E693F958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18C6-43DE-AEBF-E0F8E693F958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6-43DE-AEBF-E0F8E693F95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6-43DE-AEBF-E0F8E693F95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6-43DE-AEBF-E0F8E693F95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6-43DE-AEBF-E0F8E693F958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'borrador KPIS (no modificar)'!$Q$27:$Q$35</c:f>
              <c:multiLvlStrCache>
                <c:ptCount val="6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'borrador KPIS (no modificar)'!$R$27:$R$35</c:f>
              <c:numCache>
                <c:formatCode>"$"#,##0.00</c:formatCode>
                <c:ptCount val="6"/>
                <c:pt idx="0">
                  <c:v>239000</c:v>
                </c:pt>
                <c:pt idx="1">
                  <c:v>1333750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8A-4559-A970-4E8B8D137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589663"/>
        <c:axId val="218593983"/>
      </c:lineChart>
      <c:catAx>
        <c:axId val="21858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8593983"/>
        <c:crosses val="autoZero"/>
        <c:auto val="1"/>
        <c:lblAlgn val="ctr"/>
        <c:lblOffset val="100"/>
        <c:noMultiLvlLbl val="0"/>
      </c:catAx>
      <c:valAx>
        <c:axId val="218593983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21858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[dashboard_prestamos.xlsx]Tablas!TablaDinámica18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CLIENTES CON MORA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480667200612434"/>
          <c:y val="0.1312938252492698"/>
          <c:w val="0.55245523157958809"/>
          <c:h val="0.843310639747520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Tablas!$E$3:$E$18</c:f>
              <c:strCache>
                <c:ptCount val="15"/>
                <c:pt idx="0">
                  <c:v>YAMILA MONJES</c:v>
                </c:pt>
                <c:pt idx="1">
                  <c:v>CEFERINO EZEQUIEL CASTRO</c:v>
                </c:pt>
                <c:pt idx="2">
                  <c:v>NADIA TECILLA</c:v>
                </c:pt>
                <c:pt idx="3">
                  <c:v>GABRIEL GONZALES</c:v>
                </c:pt>
                <c:pt idx="4">
                  <c:v>PAMELA MEDINA</c:v>
                </c:pt>
                <c:pt idx="5">
                  <c:v>YANINA FABIANA PERALTA</c:v>
                </c:pt>
                <c:pt idx="6">
                  <c:v>CHRISTOFER ALEX RUBINI</c:v>
                </c:pt>
                <c:pt idx="7">
                  <c:v>DILAN OMAR ALBARRACIN</c:v>
                </c:pt>
                <c:pt idx="8">
                  <c:v>QUINTEROS JAVIERO</c:v>
                </c:pt>
                <c:pt idx="9">
                  <c:v>LEONARDO ANDRADA</c:v>
                </c:pt>
                <c:pt idx="10">
                  <c:v>ROSA CARLOS</c:v>
                </c:pt>
                <c:pt idx="11">
                  <c:v>DAMARIS SOLEDAD ARGUELLO</c:v>
                </c:pt>
                <c:pt idx="12">
                  <c:v>MARIA ELENA TORRES</c:v>
                </c:pt>
                <c:pt idx="13">
                  <c:v>FABRICIO GALLO</c:v>
                </c:pt>
                <c:pt idx="14">
                  <c:v>TIZIANA TECILLA</c:v>
                </c:pt>
              </c:strCache>
            </c:strRef>
          </c:cat>
          <c:val>
            <c:numRef>
              <c:f>Tablas!$F$3:$F$18</c:f>
              <c:numCache>
                <c:formatCode>"$"#,##0.00</c:formatCode>
                <c:ptCount val="15"/>
                <c:pt idx="0">
                  <c:v>28750</c:v>
                </c:pt>
                <c:pt idx="1">
                  <c:v>28750</c:v>
                </c:pt>
                <c:pt idx="2">
                  <c:v>28750</c:v>
                </c:pt>
                <c:pt idx="3">
                  <c:v>40000</c:v>
                </c:pt>
                <c:pt idx="4">
                  <c:v>44000</c:v>
                </c:pt>
                <c:pt idx="5">
                  <c:v>57500</c:v>
                </c:pt>
                <c:pt idx="6">
                  <c:v>58750</c:v>
                </c:pt>
                <c:pt idx="7">
                  <c:v>86250</c:v>
                </c:pt>
                <c:pt idx="8">
                  <c:v>115000</c:v>
                </c:pt>
                <c:pt idx="9">
                  <c:v>120000</c:v>
                </c:pt>
                <c:pt idx="10">
                  <c:v>120000</c:v>
                </c:pt>
                <c:pt idx="11">
                  <c:v>120000</c:v>
                </c:pt>
                <c:pt idx="12">
                  <c:v>180000</c:v>
                </c:pt>
                <c:pt idx="13">
                  <c:v>195000</c:v>
                </c:pt>
                <c:pt idx="14">
                  <c:v>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72-49CF-8783-7CA663EC3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1777231"/>
        <c:axId val="871769231"/>
      </c:barChart>
      <c:catAx>
        <c:axId val="141177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1769231"/>
        <c:crosses val="autoZero"/>
        <c:auto val="1"/>
        <c:lblAlgn val="ctr"/>
        <c:lblOffset val="100"/>
        <c:noMultiLvlLbl val="0"/>
      </c:catAx>
      <c:valAx>
        <c:axId val="871769231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4117772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[dashboard_prestamos.xlsx]Tablas!TablaDinámica22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CAPITAL POR PRESTAMISTA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Tablas!$E$23:$E$28</c:f>
              <c:strCache>
                <c:ptCount val="5"/>
                <c:pt idx="0">
                  <c:v>PREST-1</c:v>
                </c:pt>
                <c:pt idx="1">
                  <c:v>PREST-2</c:v>
                </c:pt>
                <c:pt idx="2">
                  <c:v>PREST-3</c:v>
                </c:pt>
                <c:pt idx="3">
                  <c:v>PREST-5</c:v>
                </c:pt>
                <c:pt idx="4">
                  <c:v>PREST-4</c:v>
                </c:pt>
              </c:strCache>
            </c:strRef>
          </c:cat>
          <c:val>
            <c:numRef>
              <c:f>Tablas!$F$23:$F$28</c:f>
              <c:numCache>
                <c:formatCode>"$"#,##0.00</c:formatCode>
                <c:ptCount val="5"/>
                <c:pt idx="0">
                  <c:v>11850000</c:v>
                </c:pt>
                <c:pt idx="1">
                  <c:v>2966500</c:v>
                </c:pt>
                <c:pt idx="2">
                  <c:v>1100000</c:v>
                </c:pt>
                <c:pt idx="3">
                  <c:v>300000</c:v>
                </c:pt>
                <c:pt idx="4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6E-4303-AA2F-FAB6E8BF9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596383"/>
        <c:axId val="218597343"/>
      </c:barChart>
      <c:catAx>
        <c:axId val="21859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8597343"/>
        <c:crosses val="autoZero"/>
        <c:auto val="1"/>
        <c:lblAlgn val="ctr"/>
        <c:lblOffset val="100"/>
        <c:noMultiLvlLbl val="0"/>
      </c:catAx>
      <c:valAx>
        <c:axId val="218597343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21859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[dashboard_prestamos.xlsx]borrador KPIS (no modificar)!Tabla_al_dia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CUOTAS MOROSAS vs AL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9920164626975621E-2"/>
              <c:y val="-0.115797076342069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4760479853862032"/>
              <c:y val="8.623186536111539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4760479853862032"/>
              <c:y val="8.623186536111539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9920164626975621E-2"/>
              <c:y val="-0.115797076342069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4760479853862032"/>
              <c:y val="8.623186536111539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9920164626975621E-2"/>
              <c:y val="-0.115797076342069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'borrador KPIS (no modificar)'!$N$27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1E-4592-A02B-9194D1C810A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1E-4592-A02B-9194D1C810AB}"/>
              </c:ext>
            </c:extLst>
          </c:dPt>
          <c:dLbls>
            <c:dLbl>
              <c:idx val="0"/>
              <c:layout>
                <c:manualLayout>
                  <c:x val="0.14760479853862032"/>
                  <c:y val="8.62318653611153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1E-4592-A02B-9194D1C810AB}"/>
                </c:ext>
              </c:extLst>
            </c:dLbl>
            <c:dLbl>
              <c:idx val="1"/>
              <c:layout>
                <c:manualLayout>
                  <c:x val="-8.9920164626975621E-2"/>
                  <c:y val="-0.1157970763420695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1E-4592-A02B-9194D1C810A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'borrador KPIS (no modificar)'!$M$28:$M$30</c:f>
              <c:strCache>
                <c:ptCount val="2"/>
                <c:pt idx="0">
                  <c:v>Al día</c:v>
                </c:pt>
                <c:pt idx="1">
                  <c:v>Morosos</c:v>
                </c:pt>
              </c:strCache>
            </c:strRef>
          </c:cat>
          <c:val>
            <c:numRef>
              <c:f>'borrador KPIS (no modificar)'!$N$28:$N$30</c:f>
              <c:numCache>
                <c:formatCode>General</c:formatCode>
                <c:ptCount val="2"/>
                <c:pt idx="0">
                  <c:v>158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1E-4592-A02B-9194D1C81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28575</xdr:rowOff>
    </xdr:from>
    <xdr:to>
      <xdr:col>1</xdr:col>
      <xdr:colOff>339229</xdr:colOff>
      <xdr:row>7</xdr:row>
      <xdr:rowOff>75444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DBD6485-4BB8-A3CF-883B-DB6B6A01F12A}"/>
            </a:ext>
          </a:extLst>
        </xdr:cNvPr>
        <xdr:cNvSpPr/>
      </xdr:nvSpPr>
      <xdr:spPr>
        <a:xfrm>
          <a:off x="1" y="544046"/>
          <a:ext cx="2210610" cy="82007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400" b="1">
              <a:solidFill>
                <a:sysClr val="windowText" lastClr="000000"/>
              </a:solidFill>
            </a:rPr>
            <a:t>CAPITAL</a:t>
          </a:r>
          <a:r>
            <a:rPr lang="es-MX" sz="1400" b="1" baseline="0">
              <a:solidFill>
                <a:sysClr val="windowText" lastClr="000000"/>
              </a:solidFill>
            </a:rPr>
            <a:t> PRESTADO</a:t>
          </a:r>
        </a:p>
        <a:p>
          <a:pPr algn="ctr"/>
          <a:endParaRPr lang="es-MX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5</xdr:row>
      <xdr:rowOff>84333</xdr:rowOff>
    </xdr:from>
    <xdr:to>
      <xdr:col>1</xdr:col>
      <xdr:colOff>277133</xdr:colOff>
      <xdr:row>7</xdr:row>
      <xdr:rowOff>46620</xdr:rowOff>
    </xdr:to>
    <xdr:sp macro="" textlink="'borrador KPIS (no modificar)'!B79">
      <xdr:nvSpPr>
        <xdr:cNvPr id="10" name="CuadroTexto 9">
          <a:extLst>
            <a:ext uri="{FF2B5EF4-FFF2-40B4-BE49-F238E27FC236}">
              <a16:creationId xmlns:a16="http://schemas.microsoft.com/office/drawing/2014/main" id="{82BD5C3A-575B-7030-ED0B-2AC1D836900C}"/>
            </a:ext>
          </a:extLst>
        </xdr:cNvPr>
        <xdr:cNvSpPr txBox="1"/>
      </xdr:nvSpPr>
      <xdr:spPr>
        <a:xfrm>
          <a:off x="0" y="992009"/>
          <a:ext cx="2148515" cy="34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15C1D53-A71F-40B7-94BC-1A0DD3F33CB0}" type="TxLink">
            <a:rPr lang="en-US" sz="15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$16.466.500</a:t>
          </a:fld>
          <a:endParaRPr lang="es-MX" sz="15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19151</xdr:colOff>
      <xdr:row>3</xdr:row>
      <xdr:rowOff>28575</xdr:rowOff>
    </xdr:from>
    <xdr:to>
      <xdr:col>6</xdr:col>
      <xdr:colOff>211838</xdr:colOff>
      <xdr:row>7</xdr:row>
      <xdr:rowOff>75444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109E201-F61E-4639-B51E-4EC30B409DD6}"/>
            </a:ext>
          </a:extLst>
        </xdr:cNvPr>
        <xdr:cNvSpPr/>
      </xdr:nvSpPr>
      <xdr:spPr>
        <a:xfrm>
          <a:off x="4423063" y="544046"/>
          <a:ext cx="2220951" cy="82007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PRESTAMOS</a:t>
          </a:r>
        </a:p>
        <a:p>
          <a:pPr algn="l"/>
          <a:endParaRPr lang="es-MX" sz="1100"/>
        </a:p>
      </xdr:txBody>
    </xdr:sp>
    <xdr:clientData/>
  </xdr:twoCellAnchor>
  <xdr:twoCellAnchor>
    <xdr:from>
      <xdr:col>4</xdr:col>
      <xdr:colOff>287546</xdr:colOff>
      <xdr:row>5</xdr:row>
      <xdr:rowOff>84333</xdr:rowOff>
    </xdr:from>
    <xdr:to>
      <xdr:col>6</xdr:col>
      <xdr:colOff>87143</xdr:colOff>
      <xdr:row>7</xdr:row>
      <xdr:rowOff>46620</xdr:rowOff>
    </xdr:to>
    <xdr:sp macro="" textlink="'borrador KPIS (no modificar)'!J40">
      <xdr:nvSpPr>
        <xdr:cNvPr id="11" name="CuadroTexto 10">
          <a:extLst>
            <a:ext uri="{FF2B5EF4-FFF2-40B4-BE49-F238E27FC236}">
              <a16:creationId xmlns:a16="http://schemas.microsoft.com/office/drawing/2014/main" id="{A813A661-BE86-4C94-B97D-6BB0045EE3BA}"/>
            </a:ext>
          </a:extLst>
        </xdr:cNvPr>
        <xdr:cNvSpPr txBox="1"/>
      </xdr:nvSpPr>
      <xdr:spPr>
        <a:xfrm>
          <a:off x="4691458" y="992009"/>
          <a:ext cx="1827861" cy="34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6A268A5-DF38-409A-A94C-6DDB177F094A}" type="TxLink">
            <a:rPr lang="en-US" sz="15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79</a:t>
          </a:fld>
          <a:endParaRPr lang="es-MX" sz="15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224852</xdr:colOff>
      <xdr:row>3</xdr:row>
      <xdr:rowOff>28575</xdr:rowOff>
    </xdr:from>
    <xdr:to>
      <xdr:col>8</xdr:col>
      <xdr:colOff>762659</xdr:colOff>
      <xdr:row>7</xdr:row>
      <xdr:rowOff>75444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4450E72F-9059-464D-830C-AA95DA5720EA}"/>
            </a:ext>
          </a:extLst>
        </xdr:cNvPr>
        <xdr:cNvSpPr/>
      </xdr:nvSpPr>
      <xdr:spPr>
        <a:xfrm>
          <a:off x="6657028" y="544046"/>
          <a:ext cx="2218690" cy="820074"/>
        </a:xfrm>
        <a:prstGeom prst="rect">
          <a:avLst/>
        </a:prstGeom>
        <a:solidFill>
          <a:srgbClr val="C00000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SALDO EN MORA</a:t>
          </a:r>
        </a:p>
        <a:p>
          <a:pPr algn="ctr"/>
          <a:endParaRPr lang="es-MX" sz="1100"/>
        </a:p>
      </xdr:txBody>
    </xdr:sp>
    <xdr:clientData/>
  </xdr:twoCellAnchor>
  <xdr:twoCellAnchor>
    <xdr:from>
      <xdr:col>7</xdr:col>
      <xdr:colOff>53836</xdr:colOff>
      <xdr:row>5</xdr:row>
      <xdr:rowOff>84333</xdr:rowOff>
    </xdr:from>
    <xdr:to>
      <xdr:col>8</xdr:col>
      <xdr:colOff>575777</xdr:colOff>
      <xdr:row>7</xdr:row>
      <xdr:rowOff>46620</xdr:rowOff>
    </xdr:to>
    <xdr:sp macro="" textlink="'borrador KPIS (no modificar)'!N21">
      <xdr:nvSpPr>
        <xdr:cNvPr id="13" name="CuadroTexto 12">
          <a:extLst>
            <a:ext uri="{FF2B5EF4-FFF2-40B4-BE49-F238E27FC236}">
              <a16:creationId xmlns:a16="http://schemas.microsoft.com/office/drawing/2014/main" id="{045F0691-D582-4806-B781-AE46F7F030CD}"/>
            </a:ext>
          </a:extLst>
        </xdr:cNvPr>
        <xdr:cNvSpPr txBox="1"/>
      </xdr:nvSpPr>
      <xdr:spPr>
        <a:xfrm>
          <a:off x="6990277" y="992009"/>
          <a:ext cx="1698559" cy="34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FB495C7-4B6B-40E0-958A-1FF6F534823F}" type="TxLink">
            <a:rPr lang="en-US" sz="1500" b="1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$1.572.750</a:t>
          </a:fld>
          <a:endParaRPr lang="es-MX" sz="1500" b="1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796471</xdr:colOff>
      <xdr:row>3</xdr:row>
      <xdr:rowOff>28575</xdr:rowOff>
    </xdr:from>
    <xdr:to>
      <xdr:col>10</xdr:col>
      <xdr:colOff>832531</xdr:colOff>
      <xdr:row>7</xdr:row>
      <xdr:rowOff>75444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DC952E83-243B-473E-970A-1884E45CF2E7}"/>
            </a:ext>
          </a:extLst>
        </xdr:cNvPr>
        <xdr:cNvSpPr/>
      </xdr:nvSpPr>
      <xdr:spPr>
        <a:xfrm>
          <a:off x="8909530" y="544046"/>
          <a:ext cx="1806589" cy="820074"/>
        </a:xfrm>
        <a:prstGeom prst="rect">
          <a:avLst/>
        </a:prstGeom>
        <a:solidFill>
          <a:srgbClr val="C00000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CUOTAS EN MORA</a:t>
          </a:r>
        </a:p>
        <a:p>
          <a:pPr marL="0" indent="0" algn="l"/>
          <a:endParaRPr lang="es-MX" sz="20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195088</xdr:colOff>
      <xdr:row>5</xdr:row>
      <xdr:rowOff>84333</xdr:rowOff>
    </xdr:from>
    <xdr:to>
      <xdr:col>10</xdr:col>
      <xdr:colOff>524776</xdr:colOff>
      <xdr:row>7</xdr:row>
      <xdr:rowOff>46620</xdr:rowOff>
    </xdr:to>
    <xdr:sp macro="" textlink="'borrador KPIS (no modificar)'!O27">
      <xdr:nvSpPr>
        <xdr:cNvPr id="15" name="CuadroTexto 14">
          <a:extLst>
            <a:ext uri="{FF2B5EF4-FFF2-40B4-BE49-F238E27FC236}">
              <a16:creationId xmlns:a16="http://schemas.microsoft.com/office/drawing/2014/main" id="{C9DA4F3D-16C7-4444-9863-1065A6B8C2BB}"/>
            </a:ext>
          </a:extLst>
        </xdr:cNvPr>
        <xdr:cNvSpPr txBox="1"/>
      </xdr:nvSpPr>
      <xdr:spPr>
        <a:xfrm>
          <a:off x="9159794" y="992009"/>
          <a:ext cx="1248570" cy="34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7918A39-432A-40DF-8DF1-4E119186E865}" type="TxLink">
            <a:rPr lang="en-US" sz="1500" b="1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16</a:t>
          </a:fld>
          <a:endParaRPr lang="en-US" sz="1500" b="1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867406</xdr:colOff>
      <xdr:row>3</xdr:row>
      <xdr:rowOff>28575</xdr:rowOff>
    </xdr:from>
    <xdr:to>
      <xdr:col>11</xdr:col>
      <xdr:colOff>739835</xdr:colOff>
      <xdr:row>7</xdr:row>
      <xdr:rowOff>75444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E8D5A13E-1616-43EC-91FD-90DBF7D3D57D}"/>
            </a:ext>
          </a:extLst>
        </xdr:cNvPr>
        <xdr:cNvSpPr/>
      </xdr:nvSpPr>
      <xdr:spPr>
        <a:xfrm>
          <a:off x="10750994" y="544046"/>
          <a:ext cx="1743812" cy="82007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INGRESOS A LA FECHA</a:t>
          </a: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995734</xdr:colOff>
      <xdr:row>5</xdr:row>
      <xdr:rowOff>84333</xdr:rowOff>
    </xdr:from>
    <xdr:to>
      <xdr:col>11</xdr:col>
      <xdr:colOff>372921</xdr:colOff>
      <xdr:row>7</xdr:row>
      <xdr:rowOff>46620</xdr:rowOff>
    </xdr:to>
    <xdr:sp macro="" textlink="'borrador KPIS (no modificar)'!L36">
      <xdr:nvSpPr>
        <xdr:cNvPr id="17" name="CuadroTexto 16">
          <a:extLst>
            <a:ext uri="{FF2B5EF4-FFF2-40B4-BE49-F238E27FC236}">
              <a16:creationId xmlns:a16="http://schemas.microsoft.com/office/drawing/2014/main" id="{9711EBF3-5C01-4BAB-811E-1701697E34A7}"/>
            </a:ext>
          </a:extLst>
        </xdr:cNvPr>
        <xdr:cNvSpPr txBox="1"/>
      </xdr:nvSpPr>
      <xdr:spPr>
        <a:xfrm>
          <a:off x="10879322" y="992009"/>
          <a:ext cx="1248570" cy="34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14B9375-11AD-468C-9754-3AB0802351DD}" type="TxLink">
            <a:rPr lang="en-US" sz="15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$3.564.982</a:t>
          </a:fld>
          <a:endParaRPr lang="en-US" sz="15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354446</xdr:colOff>
      <xdr:row>3</xdr:row>
      <xdr:rowOff>28575</xdr:rowOff>
    </xdr:from>
    <xdr:to>
      <xdr:col>3</xdr:col>
      <xdr:colOff>761889</xdr:colOff>
      <xdr:row>7</xdr:row>
      <xdr:rowOff>75444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34F4E6D2-B1D2-4BFD-8E75-C5B3CDC852D5}"/>
            </a:ext>
          </a:extLst>
        </xdr:cNvPr>
        <xdr:cNvSpPr/>
      </xdr:nvSpPr>
      <xdr:spPr>
        <a:xfrm>
          <a:off x="2225828" y="544046"/>
          <a:ext cx="2177973" cy="82007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400" b="1" baseline="0">
              <a:solidFill>
                <a:sysClr val="windowText" lastClr="000000"/>
              </a:solidFill>
            </a:rPr>
            <a:t>TOTAL A COBRAR</a:t>
          </a:r>
        </a:p>
        <a:p>
          <a:pPr algn="ctr"/>
          <a:endParaRPr lang="es-MX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748091</xdr:colOff>
      <xdr:row>5</xdr:row>
      <xdr:rowOff>84333</xdr:rowOff>
    </xdr:from>
    <xdr:to>
      <xdr:col>3</xdr:col>
      <xdr:colOff>578588</xdr:colOff>
      <xdr:row>7</xdr:row>
      <xdr:rowOff>46620</xdr:rowOff>
    </xdr:to>
    <xdr:sp macro="" textlink="'borrador KPIS (no modificar)'!D79">
      <xdr:nvSpPr>
        <xdr:cNvPr id="23" name="CuadroTexto 22">
          <a:extLst>
            <a:ext uri="{FF2B5EF4-FFF2-40B4-BE49-F238E27FC236}">
              <a16:creationId xmlns:a16="http://schemas.microsoft.com/office/drawing/2014/main" id="{F8A369FE-3F22-4A4F-9123-4B288A02717E}"/>
            </a:ext>
          </a:extLst>
        </xdr:cNvPr>
        <xdr:cNvSpPr txBox="1"/>
      </xdr:nvSpPr>
      <xdr:spPr>
        <a:xfrm>
          <a:off x="2619473" y="992009"/>
          <a:ext cx="1601027" cy="34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F4789A3-5841-41C7-A662-D6B4564F927F}" type="TxLink">
            <a:rPr lang="en-US" sz="15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$19.631.620</a:t>
          </a:fld>
          <a:endParaRPr lang="es-MX" sz="15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774712</xdr:colOff>
      <xdr:row>3</xdr:row>
      <xdr:rowOff>28575</xdr:rowOff>
    </xdr:from>
    <xdr:to>
      <xdr:col>14</xdr:col>
      <xdr:colOff>97599</xdr:colOff>
      <xdr:row>7</xdr:row>
      <xdr:rowOff>75444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832801AE-A8D1-4B06-9AF0-1BE757E4E38D}"/>
            </a:ext>
          </a:extLst>
        </xdr:cNvPr>
        <xdr:cNvSpPr/>
      </xdr:nvSpPr>
      <xdr:spPr>
        <a:xfrm>
          <a:off x="12529683" y="544046"/>
          <a:ext cx="1855416" cy="82007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GANANCIA ESTIMADA</a:t>
          </a:r>
        </a:p>
        <a:p>
          <a:pPr algn="l"/>
          <a:endParaRPr lang="es-MX" sz="1100"/>
        </a:p>
      </xdr:txBody>
    </xdr:sp>
    <xdr:clientData/>
  </xdr:twoCellAnchor>
  <xdr:twoCellAnchor>
    <xdr:from>
      <xdr:col>11</xdr:col>
      <xdr:colOff>843879</xdr:colOff>
      <xdr:row>5</xdr:row>
      <xdr:rowOff>84333</xdr:rowOff>
    </xdr:from>
    <xdr:to>
      <xdr:col>13</xdr:col>
      <xdr:colOff>433524</xdr:colOff>
      <xdr:row>7</xdr:row>
      <xdr:rowOff>46620</xdr:rowOff>
    </xdr:to>
    <xdr:sp macro="" textlink="'borrador KPIS (no modificar)'!D82">
      <xdr:nvSpPr>
        <xdr:cNvPr id="25" name="CuadroTexto 24">
          <a:extLst>
            <a:ext uri="{FF2B5EF4-FFF2-40B4-BE49-F238E27FC236}">
              <a16:creationId xmlns:a16="http://schemas.microsoft.com/office/drawing/2014/main" id="{B57F267A-98AA-4AD3-BC12-F68136A87D57}"/>
            </a:ext>
          </a:extLst>
        </xdr:cNvPr>
        <xdr:cNvSpPr txBox="1"/>
      </xdr:nvSpPr>
      <xdr:spPr>
        <a:xfrm>
          <a:off x="12598850" y="992009"/>
          <a:ext cx="1360174" cy="34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B46AE30-1412-48E2-B328-C7C2088354C8}" type="TxLink">
            <a:rPr lang="en-US" sz="15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$3.165.120</a:t>
          </a:fld>
          <a:endParaRPr lang="en-US" sz="15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146450</xdr:colOff>
      <xdr:row>3</xdr:row>
      <xdr:rowOff>33616</xdr:rowOff>
    </xdr:from>
    <xdr:to>
      <xdr:col>16</xdr:col>
      <xdr:colOff>419254</xdr:colOff>
      <xdr:row>7</xdr:row>
      <xdr:rowOff>77530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51078E85-8547-4638-A941-57DFACB6BB59}"/>
            </a:ext>
          </a:extLst>
        </xdr:cNvPr>
        <xdr:cNvSpPr/>
      </xdr:nvSpPr>
      <xdr:spPr>
        <a:xfrm>
          <a:off x="14433950" y="549087"/>
          <a:ext cx="1796804" cy="81711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MX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 A COBRAR</a:t>
          </a:r>
        </a:p>
        <a:p>
          <a:pPr marL="0" indent="0" algn="ctr"/>
          <a:r>
            <a:rPr lang="es-MX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EN 30 DIAS</a:t>
          </a:r>
        </a:p>
        <a:p>
          <a:pPr marL="0" indent="0" algn="ctr"/>
          <a:endParaRPr lang="es-MX" sz="20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s-MX" sz="20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142482</xdr:colOff>
      <xdr:row>5</xdr:row>
      <xdr:rowOff>12466</xdr:rowOff>
    </xdr:from>
    <xdr:to>
      <xdr:col>16</xdr:col>
      <xdr:colOff>187794</xdr:colOff>
      <xdr:row>7</xdr:row>
      <xdr:rowOff>118487</xdr:rowOff>
    </xdr:to>
    <xdr:sp macro="" textlink="'borrador KPIS (no modificar)'!L60">
      <xdr:nvSpPr>
        <xdr:cNvPr id="28" name="CuadroTexto 27">
          <a:extLst>
            <a:ext uri="{FF2B5EF4-FFF2-40B4-BE49-F238E27FC236}">
              <a16:creationId xmlns:a16="http://schemas.microsoft.com/office/drawing/2014/main" id="{FAB540DA-1862-47BD-97C7-65B9DC7AE803}"/>
            </a:ext>
          </a:extLst>
        </xdr:cNvPr>
        <xdr:cNvSpPr txBox="1"/>
      </xdr:nvSpPr>
      <xdr:spPr>
        <a:xfrm>
          <a:off x="14429982" y="920142"/>
          <a:ext cx="1569312" cy="487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658F5A8-11EB-4FEC-9E77-EC11B4BCB44B}" type="TxLink">
            <a:rPr lang="en-US" sz="15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$10.312.459</a:t>
          </a:fld>
          <a:endParaRPr lang="es-MX" sz="15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1</xdr:colOff>
      <xdr:row>7</xdr:row>
      <xdr:rowOff>145678</xdr:rowOff>
    </xdr:from>
    <xdr:to>
      <xdr:col>6</xdr:col>
      <xdr:colOff>224118</xdr:colOff>
      <xdr:row>29</xdr:row>
      <xdr:rowOff>85726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54944271-6CFF-4313-A293-8DEECB2F5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276223</xdr:colOff>
      <xdr:row>12</xdr:row>
      <xdr:rowOff>171373</xdr:rowOff>
    </xdr:from>
    <xdr:to>
      <xdr:col>8</xdr:col>
      <xdr:colOff>728381</xdr:colOff>
      <xdr:row>23</xdr:row>
      <xdr:rowOff>141677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Fecha - mes">
              <a:extLst>
                <a:ext uri="{FF2B5EF4-FFF2-40B4-BE49-F238E27FC236}">
                  <a16:creationId xmlns:a16="http://schemas.microsoft.com/office/drawing/2014/main" id="{19B9F437-4865-71F4-9E79-74CEBDEEF3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- 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8399" y="2412549"/>
              <a:ext cx="2133041" cy="20658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267421</xdr:colOff>
      <xdr:row>7</xdr:row>
      <xdr:rowOff>151760</xdr:rowOff>
    </xdr:from>
    <xdr:to>
      <xdr:col>8</xdr:col>
      <xdr:colOff>728382</xdr:colOff>
      <xdr:row>12</xdr:row>
      <xdr:rowOff>134472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Fecha - año">
              <a:extLst>
                <a:ext uri="{FF2B5EF4-FFF2-40B4-BE49-F238E27FC236}">
                  <a16:creationId xmlns:a16="http://schemas.microsoft.com/office/drawing/2014/main" id="{0E8FE891-BB43-8C25-9C22-CF5C119C7D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- 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9597" y="1440436"/>
              <a:ext cx="2141844" cy="9352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277345</xdr:colOff>
      <xdr:row>23</xdr:row>
      <xdr:rowOff>157363</xdr:rowOff>
    </xdr:from>
    <xdr:to>
      <xdr:col>8</xdr:col>
      <xdr:colOff>717176</xdr:colOff>
      <xdr:row>33</xdr:row>
      <xdr:rowOff>7204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MISTA">
              <a:extLst>
                <a:ext uri="{FF2B5EF4-FFF2-40B4-BE49-F238E27FC236}">
                  <a16:creationId xmlns:a16="http://schemas.microsoft.com/office/drawing/2014/main" id="{44392A45-3C70-05A5-75BB-79F782FA27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MIS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9521" y="4494039"/>
              <a:ext cx="2120714" cy="17548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277345</xdr:colOff>
      <xdr:row>33</xdr:row>
      <xdr:rowOff>13932</xdr:rowOff>
    </xdr:from>
    <xdr:to>
      <xdr:col>8</xdr:col>
      <xdr:colOff>717176</xdr:colOff>
      <xdr:row>53</xdr:row>
      <xdr:rowOff>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LIENTE">
              <a:extLst>
                <a:ext uri="{FF2B5EF4-FFF2-40B4-BE49-F238E27FC236}">
                  <a16:creationId xmlns:a16="http://schemas.microsoft.com/office/drawing/2014/main" id="{2A7B00BE-D35E-4C73-2FAD-061C05C80B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9521" y="6255608"/>
              <a:ext cx="2120714" cy="3796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788335</xdr:colOff>
      <xdr:row>29</xdr:row>
      <xdr:rowOff>130548</xdr:rowOff>
    </xdr:from>
    <xdr:to>
      <xdr:col>16</xdr:col>
      <xdr:colOff>438710</xdr:colOff>
      <xdr:row>53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E30D1E7-CD90-4A5B-A4C7-89E649060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97488</xdr:rowOff>
    </xdr:from>
    <xdr:to>
      <xdr:col>6</xdr:col>
      <xdr:colOff>212912</xdr:colOff>
      <xdr:row>53</xdr:row>
      <xdr:rowOff>22410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5A3E376-54D8-A3AC-4698-CFE093EFB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800100</xdr:colOff>
      <xdr:row>7</xdr:row>
      <xdr:rowOff>161925</xdr:rowOff>
    </xdr:from>
    <xdr:to>
      <xdr:col>16</xdr:col>
      <xdr:colOff>428625</xdr:colOff>
      <xdr:row>29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E7921B-B261-4322-B4E2-8294C77E3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731183</xdr:colOff>
      <xdr:row>7</xdr:row>
      <xdr:rowOff>180975</xdr:rowOff>
    </xdr:from>
    <xdr:to>
      <xdr:col>16</xdr:col>
      <xdr:colOff>392206</xdr:colOff>
      <xdr:row>15</xdr:row>
      <xdr:rowOff>168089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Fecha prestamistas">
              <a:extLst>
                <a:ext uri="{FF2B5EF4-FFF2-40B4-BE49-F238E27FC236}">
                  <a16:creationId xmlns:a16="http://schemas.microsoft.com/office/drawing/2014/main" id="{B5C30235-16B3-2699-4E2D-377F60F2F0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prestamist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56683" y="1469651"/>
              <a:ext cx="1947023" cy="15111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16</xdr:col>
      <xdr:colOff>441191</xdr:colOff>
      <xdr:row>7</xdr:row>
      <xdr:rowOff>131029</xdr:rowOff>
    </xdr:from>
    <xdr:to>
      <xdr:col>20</xdr:col>
      <xdr:colOff>170570</xdr:colOff>
      <xdr:row>19</xdr:row>
      <xdr:rowOff>81163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1CCC2F5-F6AC-4F75-9D53-7DEB65534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466011</xdr:colOff>
      <xdr:row>3</xdr:row>
      <xdr:rowOff>28547</xdr:rowOff>
    </xdr:from>
    <xdr:to>
      <xdr:col>19</xdr:col>
      <xdr:colOff>35427</xdr:colOff>
      <xdr:row>7</xdr:row>
      <xdr:rowOff>75416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BDF5ED9A-40A5-431E-9809-1A3FA54A9FE2}"/>
            </a:ext>
          </a:extLst>
        </xdr:cNvPr>
        <xdr:cNvSpPr/>
      </xdr:nvSpPr>
      <xdr:spPr>
        <a:xfrm>
          <a:off x="16231528" y="540926"/>
          <a:ext cx="1855416" cy="815438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BENEFICIO</a:t>
          </a:r>
        </a:p>
        <a:p>
          <a:pPr algn="l"/>
          <a:endParaRPr lang="es-MX" sz="1100"/>
        </a:p>
      </xdr:txBody>
    </xdr:sp>
    <xdr:clientData/>
  </xdr:twoCellAnchor>
  <xdr:twoCellAnchor>
    <xdr:from>
      <xdr:col>16</xdr:col>
      <xdr:colOff>658753</xdr:colOff>
      <xdr:row>5</xdr:row>
      <xdr:rowOff>86979</xdr:rowOff>
    </xdr:from>
    <xdr:to>
      <xdr:col>18</xdr:col>
      <xdr:colOff>494927</xdr:colOff>
      <xdr:row>7</xdr:row>
      <xdr:rowOff>49266</xdr:rowOff>
    </xdr:to>
    <xdr:sp macro="" textlink="'borrador KPIS (no modificar)'!D83">
      <xdr:nvSpPr>
        <xdr:cNvPr id="29" name="CuadroTexto 28">
          <a:extLst>
            <a:ext uri="{FF2B5EF4-FFF2-40B4-BE49-F238E27FC236}">
              <a16:creationId xmlns:a16="http://schemas.microsoft.com/office/drawing/2014/main" id="{9638CCB1-48F2-4C51-86ED-92DFF31C4C10}"/>
            </a:ext>
          </a:extLst>
        </xdr:cNvPr>
        <xdr:cNvSpPr txBox="1"/>
      </xdr:nvSpPr>
      <xdr:spPr>
        <a:xfrm>
          <a:off x="16470253" y="994655"/>
          <a:ext cx="1360174" cy="34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93EFBAB-9EBF-42F6-A9A3-A44D95D35528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19,22%</a:t>
          </a:fld>
          <a:endParaRPr lang="en-US" sz="14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177546295" backgroundQuery="1" createdVersion="8" refreshedVersion="8" minRefreshableVersion="3" recordCount="0" supportSubquery="1" supportAdvancedDrill="1" xr:uid="{EA174B09-ABE1-497D-B409-8DA7245A464B}">
  <cacheSource type="external" connectionId="1"/>
  <cacheFields count="4">
    <cacheField name="[TBL_PRESTAMOS].[CLIENTE].[CLIENTE]" caption="CLIENTE" numFmtId="0" hierarchy="16" level="1">
      <sharedItems count="73">
        <s v="ANA CORZO"/>
        <s v="ANALIA TAPIA"/>
        <s v="ANGEL GONZALES"/>
        <s v="ARCE GUSTAVO"/>
        <s v="AXEL ARAMBURO"/>
        <s v="AXEL FARIAS"/>
        <s v="BRENDA MICAELA MOYANO"/>
        <s v="BRISA ESQUIVEL"/>
        <s v="CEFERINO EZEQUIEL CASTRO"/>
        <s v="CELESTE CORZO"/>
        <s v="CHRISTOFER ALEX RUBINI"/>
        <s v="CLAUDIO LUDUEÑA"/>
        <s v="CRISTIAN OLMEDO"/>
        <s v="DAMARIS SOLEDAD ARGUELLO"/>
        <s v="DANIELA SUAREZ"/>
        <s v="DIEGO SUAREZ - PELIN"/>
        <s v="DILAN MONTAÑA"/>
        <s v="DILAN MONTAÑA - POCHI"/>
        <s v="DILAN OMAR ALBARRACIN"/>
        <s v="FABRICIO GALLO"/>
        <s v="FLORENCIA AGUSTINA BUSTOS"/>
        <s v="FRANCO VARELA"/>
        <s v="GABRIEL GONZALES"/>
        <s v="GABRIEL TECILLA"/>
        <s v="GABRIELA VERONICA OLMOS"/>
        <s v="GISELA ROMERO"/>
        <s v="GORDO SANTILLAN"/>
        <s v="GUILLERMO MARTINEZ"/>
        <s v="GUSTAVO ZAPATA"/>
        <s v="HERNESTO LUJAN"/>
        <s v="JORGE ZAPATA"/>
        <s v="LAUTARO GODOY"/>
        <s v="LEANDRO BUSTOS"/>
        <s v="LEANRDO ORELLANO"/>
        <s v="LEILA SHAKIRA"/>
        <s v="LEONADRO TECILLA - DIAZ TRANSITO P"/>
        <s v="LEONARDO ANDRADA"/>
        <s v="LOPEZ CELESTE ESTEFANIA"/>
        <s v="LOURDES ARAMBURO"/>
        <s v="MACARENA ÑAÑEZ"/>
        <s v="MARCELO GODOY"/>
        <s v="MARIA (FRENTE)"/>
        <s v="MARIA BEATRIZ LEZCANO (COMPAÑERA NATY)"/>
        <s v="MARIA ELENA TORRES"/>
        <s v="MIGUEL ALLENDE"/>
        <s v="MOYA CINTIA ROMINA"/>
        <s v="NADIA TECILLA"/>
        <s v="NAHIR GOMEZ"/>
        <s v="NATALIA CORREA"/>
        <s v="NEGRO VEGA"/>
        <s v="NICO ALBAÑIL"/>
        <s v="NICOLAS TECILLA"/>
        <s v="NOELIA VERONICA PEDERNERA"/>
        <s v="NORMA ESQUIVEL"/>
        <s v="PAMELA MEDINA"/>
        <s v="PATRICIA DIAZ (MAMA YANI)"/>
        <s v="PREST-1"/>
        <s v="PREST-1 - GORRAS"/>
        <s v="QUINTEROS JAVIERO"/>
        <s v="RICARDO ESTEBAN FARIAS"/>
        <s v="RICARDO MONIER"/>
        <s v="RICARDO OLMEDO- TIO MILI"/>
        <s v="ROCIO ESQUIBEL"/>
        <s v="RODRIGUEZ JUAN"/>
        <s v="ROSA CARLOS"/>
        <s v="TAMARA TAPIA"/>
        <s v="TAMARA TECILLA"/>
        <s v="TERESA ROSA AVILA"/>
        <s v="TIZIANA TECILLA"/>
        <s v="VERONICA SOLEDAD GOMEZ"/>
        <s v="YAMILA MONJES"/>
        <s v="YANINA FABIANA PERALTA"/>
        <s v="YOLANDA SILVA"/>
      </sharedItems>
    </cacheField>
    <cacheField name="[Measures].[Suma de MONTO_PRESTAMO]" caption="Suma de MONTO_PRESTAMO" numFmtId="0" hierarchy="28" level="32767"/>
    <cacheField name="[Measures].[Sum of CANT_CUOTAS]" caption="Sum of CANT_CUOTAS" numFmtId="0" hierarchy="36" level="32767"/>
    <cacheField name="[Measures].[Suma de MONTO_CUOTA]" caption="Suma de MONTO_CUOTA" numFmtId="0" hierarchy="40" level="32767"/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0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4097223" backgroundQuery="1" createdVersion="8" refreshedVersion="8" minRefreshableVersion="3" recordCount="0" supportSubquery="1" supportAdvancedDrill="1" xr:uid="{1FEFB8A0-7B7D-4E47-B8AF-FE17955C9F17}">
  <cacheSource type="external" connectionId="1"/>
  <cacheFields count="2">
    <cacheField name="[Measures].[Recuento de ID_PRESTAMO]" caption="Recuento de ID_PRESTAMO" numFmtId="0" hierarchy="38" level="32767"/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1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4675924" backgroundQuery="1" createdVersion="8" refreshedVersion="8" minRefreshableVersion="3" recordCount="0" supportSubquery="1" supportAdvancedDrill="1" xr:uid="{D6DD2493-0449-43F3-8060-2DE054FB0D9B}">
  <cacheSource type="external" connectionId="1"/>
  <cacheFields count="4">
    <cacheField name="[Measures].[Suma de INGRESO]" caption="Suma de INGRESO" numFmtId="0" hierarchy="29" level="32767"/>
    <cacheField name="[TBL_CUOTAS].[FECHA_CUOTA (mes)].[FECHA_CUOTA (mes)]" caption="FECHA_CUOTA (mes)" numFmtId="0" hierarchy="11" level="1">
      <sharedItems count="6">
        <s v="nov"/>
        <s v="dic"/>
        <s v="ene"/>
        <s v="feb"/>
        <s v="mar"/>
        <s v="abr"/>
      </sharedItems>
    </cacheField>
    <cacheField name="[TBL_CUOTAS].[FECHA_CUOTA (año)].[FECHA_CUOTA (año)]" caption="FECHA_CUOTA (año)" numFmtId="0" hierarchy="9" level="1">
      <sharedItems count="2">
        <s v="2025"/>
        <s v="2026"/>
      </sharedItems>
    </cacheField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>
      <fieldsUsage count="2">
        <fieldUsage x="-1"/>
        <fieldUsage x="2"/>
      </fieldsUsage>
    </cacheHierarchy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>
      <fieldsUsage count="2">
        <fieldUsage x="-1"/>
        <fieldUsage x="1"/>
      </fieldsUsage>
    </cacheHierarchy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3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5023147" backgroundQuery="1" createdVersion="8" refreshedVersion="8" minRefreshableVersion="3" recordCount="0" supportSubquery="1" supportAdvancedDrill="1" xr:uid="{14287230-DAA1-4CCA-94BA-CE0EB3A1D4E1}">
  <cacheSource type="external" connectionId="1"/>
  <cacheFields count="3">
    <cacheField name="[TBL_CUOTAS].[CLIENTE].[CLIENTE]" caption="CLIENTE" numFmtId="0" hierarchy="2" level="1">
      <sharedItems count="15">
        <s v="CEFERINO EZEQUIEL CASTRO"/>
        <s v="CHRISTOFER ALEX RUBINI"/>
        <s v="DAMARIS SOLEDAD ARGUELLO"/>
        <s v="DILAN OMAR ALBARRACIN"/>
        <s v="FABRICIO GALLO"/>
        <s v="GABRIEL GONZALES"/>
        <s v="LEONARDO ANDRADA"/>
        <s v="MARIA ELENA TORRES"/>
        <s v="NADIA TECILLA"/>
        <s v="PAMELA MEDINA"/>
        <s v="QUINTEROS JAVIERO"/>
        <s v="ROSA CARLOS"/>
        <s v="TIZIANA TECILLA"/>
        <s v="YAMILA MONJES"/>
        <s v="YANINA FABIANA PERALTA"/>
      </sharedItems>
    </cacheField>
    <cacheField name="[Measures].[Suma de CUOTAS_ATRASADAS]" caption="Suma de CUOTAS_ATRASADAS" numFmtId="0" hierarchy="34" level="32767"/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2" memberValueDatatype="130" unbalanced="0">
      <fieldsUsage count="2">
        <fieldUsage x="-1"/>
        <fieldUsage x="0"/>
      </fieldsUsage>
    </cacheHierarchy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537037" backgroundQuery="1" createdVersion="8" refreshedVersion="8" minRefreshableVersion="3" recordCount="0" supportSubquery="1" supportAdvancedDrill="1" xr:uid="{0970C70F-3DCE-466D-8FA6-570C808997FC}">
  <cacheSource type="external" connectionId="1"/>
  <cacheFields count="3">
    <cacheField name="[TBL_PRESTAMOS].[PRESTAMISTA].[PRESTAMISTA]" caption="PRESTAMISTA" numFmtId="0" hierarchy="17" level="1">
      <sharedItems count="5">
        <s v="PREST-1"/>
        <s v="PREST-2"/>
        <s v="PREST-3"/>
        <s v="PREST-4"/>
        <s v="PREST-5"/>
      </sharedItems>
    </cacheField>
    <cacheField name="[Measures].[Suma de MONTO_PRESTAMO]" caption="Suma de MONTO_PRESTAMO" numFmtId="0" hierarchy="28" level="32767"/>
    <cacheField name="[TBL_PRESTAMOS].[CLIENTE].[CLIENTE]" caption="CLIENTE" numFmtId="0" hierarchy="16" level="1">
      <sharedItems containsNonDate="0" count="8">
        <s v="ARCE GUSTAVO"/>
        <s v="FRANCO VARELA"/>
        <s v="GABRIEL GONZALES"/>
        <s v="MACARENA ÑAÑEZ"/>
        <s v="NEGRO VEGA"/>
        <s v="PAMELA MEDINA"/>
        <s v="YANINA TECILLA"/>
        <s v="YANINA TECILLA - GORRAS"/>
      </sharedItems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>
      <fieldsUsage count="2">
        <fieldUsage x="-1"/>
        <fieldUsage x="0"/>
      </fieldsUsage>
    </cacheHierarchy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5717594" backgroundQuery="1" createdVersion="8" refreshedVersion="8" minRefreshableVersion="3" recordCount="0" supportSubquery="1" supportAdvancedDrill="1" xr:uid="{2A0C907A-C9C7-4A06-A245-668B7FB1E3C6}">
  <cacheSource type="external" connectionId="1"/>
  <cacheFields count="4">
    <cacheField name="[Measures].[Suma de MONTO_PRESTAMO]" caption="Suma de MONTO_PRESTAMO" numFmtId="0" hierarchy="28" level="32767"/>
    <cacheField name="[TBL_PRESTAMOS].[FECHA_PRESTAMO (mes)].[FECHA_PRESTAMO (mes)]" caption="FECHA_PRESTAMO (mes)" numFmtId="0" hierarchy="22" level="1">
      <sharedItems containsNonDate="0" count="4">
        <s v="sep"/>
        <s v="oct"/>
        <s v="nov"/>
        <s v="dic"/>
      </sharedItems>
    </cacheField>
    <cacheField name="[TBL_PRESTAMOS].[PRESTAMISTA].[PRESTAMISTA]" caption="PRESTAMISTA" numFmtId="0" hierarchy="17" level="1">
      <sharedItems count="5">
        <s v="PREST-1"/>
        <s v="PREST-2"/>
        <s v="PREST-3"/>
        <s v="PREST-4"/>
        <s v="PREST-5"/>
      </sharedItems>
    </cacheField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3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2" memberValueDatatype="130" unbalanced="0">
      <fieldsUsage count="2">
        <fieldUsage x="-1"/>
        <fieldUsage x="1"/>
      </fieldsUsage>
    </cacheHierarchy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6064817" backgroundQuery="1" createdVersion="8" refreshedVersion="8" minRefreshableVersion="3" recordCount="0" supportSubquery="1" supportAdvancedDrill="1" xr:uid="{B1EDDAC9-A367-497E-AC98-F257679CE0CB}">
  <cacheSource type="external" connectionId="1"/>
  <cacheFields count="3">
    <cacheField name="[TBL_CUOTAS].[CUOTAS_ATRASADAS].[CUOTAS_ATRASADAS]" caption="CUOTAS_ATRASADAS" numFmtId="0" hierarchy="13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BL_CUOTAS].[CUOTAS_ATRASADAS].&amp;[0]"/>
            <x15:cachedUniqueName index="1" name="[TBL_CUOTAS].[CUOTAS_ATRASADAS].&amp;[1]"/>
          </x15:cachedUniqueNames>
        </ext>
      </extLst>
    </cacheField>
    <cacheField name="[Measures].[Recuento de CUOTAS_ATRASADAS]" caption="Recuento de CUOTAS_ATRASADAS" numFmtId="0" hierarchy="35" level="32767"/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2" memberValueDatatype="20" unbalanced="0">
      <fieldsUsage count="2">
        <fieldUsage x="-1"/>
        <fieldUsage x="0"/>
      </fieldsUsage>
    </cacheHierarchy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6527779" backgroundQuery="1" createdVersion="8" refreshedVersion="8" minRefreshableVersion="3" recordCount="0" supportSubquery="1" supportAdvancedDrill="1" xr:uid="{3CF565EC-6B3C-41A8-8C4C-6022D1901BDC}">
  <cacheSource type="external" connectionId="1"/>
  <cacheFields count="5">
    <cacheField name="[TBL_CUOTAS].[CUOTAS_ATRASADAS].[CUOTAS_ATRASADAS]" caption="CUOTAS_ATRASADAS" numFmtId="0" hierarchy="13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BL_CUOTAS].[CUOTAS_ATRASADAS].&amp;[0]"/>
            <x15:cachedUniqueName index="1" name="[TBL_CUOTAS].[CUOTAS_ATRASADAS].&amp;[1]"/>
          </x15:cachedUniqueNames>
        </ext>
      </extLst>
    </cacheField>
    <cacheField name="[Measures].[Suma de DEUDA_ATRASADA]" caption="Suma de DEUDA_ATRASADA" numFmtId="0" hierarchy="32" level="32767"/>
    <cacheField name="[TBL_CUOTAS].[FECHA_CUOTA (año)].[FECHA_CUOTA (año)]" caption="FECHA_CUOTA (año)" numFmtId="0" hierarchy="9" level="1">
      <sharedItems count="2">
        <s v="2025"/>
        <s v="2026"/>
      </sharedItems>
    </cacheField>
    <cacheField name="[TBL_CUOTAS].[FECHA_CUOTA (mes)].[FECHA_CUOTA (mes)]" caption="FECHA_CUOTA (mes)" numFmtId="0" hierarchy="11" level="1">
      <sharedItems count="6">
        <s v="nov"/>
        <s v="dic"/>
        <s v="ene"/>
        <s v="feb"/>
        <s v="mar"/>
        <s v="abr"/>
      </sharedItems>
    </cacheField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>
      <fieldsUsage count="2">
        <fieldUsage x="-1"/>
        <fieldUsage x="2"/>
      </fieldsUsage>
    </cacheHierarchy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>
      <fieldsUsage count="2">
        <fieldUsage x="-1"/>
        <fieldUsage x="3"/>
      </fieldsUsage>
    </cacheHierarchy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2" memberValueDatatype="20" unbalanced="0">
      <fieldsUsage count="2">
        <fieldUsage x="-1"/>
        <fieldUsage x="0"/>
      </fieldsUsage>
    </cacheHierarchy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4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6875002" backgroundQuery="1" createdVersion="8" refreshedVersion="8" minRefreshableVersion="3" recordCount="0" supportSubquery="1" supportAdvancedDrill="1" xr:uid="{66C001BF-8638-413D-A2F6-06AF4878804C}">
  <cacheSource type="external" connectionId="1"/>
  <cacheFields count="3">
    <cacheField name="[TBL_CUOTAS].[CLIENTE].[CLIENTE]" caption="CLIENTE" numFmtId="0" hierarchy="2" level="1">
      <sharedItems count="15">
        <s v="CEFERINO EZEQUIEL CASTRO"/>
        <s v="CHRISTOFER ALEX RUBINI"/>
        <s v="DAMARIS SOLEDAD ARGUELLO"/>
        <s v="DILAN OMAR ALBARRACIN"/>
        <s v="FABRICIO GALLO"/>
        <s v="GABRIEL GONZALES"/>
        <s v="LEONARDO ANDRADA"/>
        <s v="MARIA ELENA TORRES"/>
        <s v="NADIA TECILLA"/>
        <s v="PAMELA MEDINA"/>
        <s v="QUINTEROS JAVIERO"/>
        <s v="ROSA CARLOS"/>
        <s v="TIZIANA TECILLA"/>
        <s v="YAMILA MONJES"/>
        <s v="YANINA FABIANA PERALTA"/>
      </sharedItems>
    </cacheField>
    <cacheField name="[Measures].[Suma de DEUDA_ATRASADA]" caption="Suma de DEUDA_ATRASADA" numFmtId="0" hierarchy="32" level="32767"/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2" memberValueDatatype="130" unbalanced="0">
      <fieldsUsage count="2">
        <fieldUsage x="-1"/>
        <fieldUsage x="0"/>
      </fieldsUsage>
    </cacheHierarchy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7222225" backgroundQuery="1" createdVersion="8" refreshedVersion="8" minRefreshableVersion="3" recordCount="0" supportSubquery="1" supportAdvancedDrill="1" xr:uid="{D5F6CB2C-6EC5-4E96-81D9-D835490BBC32}">
  <cacheSource type="external" connectionId="1"/>
  <cacheFields count="5">
    <cacheField name="[Measures].[Suma de MONTO_CUOTA]" caption="Suma de MONTO_CUOTA" numFmtId="0" hierarchy="40" level="32767"/>
    <cacheField name="[TBL_CUOTAS].[FECHA_CUOTA (año)].[FECHA_CUOTA (año)]" caption="FECHA_CUOTA (año)" numFmtId="0" hierarchy="9" level="1">
      <sharedItems count="2">
        <s v="2025"/>
        <s v="2026"/>
      </sharedItems>
    </cacheField>
    <cacheField name="[TBL_CUOTAS].[FECHA_CUOTA (mes)].[FECHA_CUOTA (mes)]" caption="FECHA_CUOTA (mes)" numFmtId="0" hierarchy="11" level="1">
      <sharedItems count="6">
        <s v="nov"/>
        <s v="dic"/>
        <s v="ene"/>
        <s v="feb"/>
        <s v="mar"/>
        <s v="abr"/>
      </sharedItems>
    </cacheField>
    <cacheField name="[Measures].[Suma de INGRESO]" caption="Suma de INGRESO" numFmtId="0" hierarchy="29" level="32767"/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>
      <fieldsUsage count="2">
        <fieldUsage x="-1"/>
        <fieldUsage x="1"/>
      </fieldsUsage>
    </cacheHierarchy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>
      <fieldsUsage count="2">
        <fieldUsage x="-1"/>
        <fieldUsage x="2"/>
      </fieldsUsage>
    </cacheHierarchy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4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7569441" backgroundQuery="1" createdVersion="8" refreshedVersion="8" minRefreshableVersion="3" recordCount="0" supportSubquery="1" supportAdvancedDrill="1" xr:uid="{59D1AE5A-827D-47CF-B4D5-5BD8D3E5E05D}">
  <cacheSource type="external" connectionId="1"/>
  <cacheFields count="5">
    <cacheField name="[Measures].[Suma de MONTO_CUOTA]" caption="Suma de MONTO_CUOTA" numFmtId="0" hierarchy="40" level="32767"/>
    <cacheField name="[TBL_CUOTAS].[FECHA_CUOTA (año)].[FECHA_CUOTA (año)]" caption="FECHA_CUOTA (año)" numFmtId="0" hierarchy="9" level="1">
      <sharedItems count="2">
        <s v="2025"/>
        <s v="2026"/>
      </sharedItems>
    </cacheField>
    <cacheField name="[TBL_CUOTAS].[FECHA_CUOTA (mes)].[FECHA_CUOTA (mes)]" caption="FECHA_CUOTA (mes)" numFmtId="0" hierarchy="11" level="1">
      <sharedItems count="6">
        <s v="nov"/>
        <s v="dic"/>
        <s v="ene"/>
        <s v="feb"/>
        <s v="mar"/>
        <s v="abr"/>
      </sharedItems>
    </cacheField>
    <cacheField name="[Measures].[Suma de INGRESO]" caption="Suma de INGRESO" numFmtId="0" hierarchy="29" level="32767"/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>
      <fieldsUsage count="2">
        <fieldUsage x="-1"/>
        <fieldUsage x="1"/>
      </fieldsUsage>
    </cacheHierarchy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>
      <fieldsUsage count="2">
        <fieldUsage x="-1"/>
        <fieldUsage x="2"/>
      </fieldsUsage>
    </cacheHierarchy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4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7916664" backgroundQuery="1" createdVersion="8" refreshedVersion="8" minRefreshableVersion="3" recordCount="0" supportSubquery="1" supportAdvancedDrill="1" xr:uid="{634CB8F8-C5F7-43D4-8F40-05E17524E79E}">
  <cacheSource type="external" connectionId="1"/>
  <cacheFields count="3">
    <cacheField name="[TBL_CUOTAS].[CLIENTE].[CLIENTE]" caption="CLIENTE" numFmtId="0" hierarchy="2" level="1">
      <sharedItems count="15">
        <s v="CEFERINO EZEQUIEL CASTRO"/>
        <s v="CHRISTOFER ALEX RUBINI"/>
        <s v="DAMARIS SOLEDAD ARGUELLO"/>
        <s v="DILAN OMAR ALBARRACIN"/>
        <s v="FABRICIO GALLO"/>
        <s v="GABRIEL GONZALES"/>
        <s v="LEONARDO ANDRADA"/>
        <s v="MARIA ELENA TORRES"/>
        <s v="NADIA TECILLA"/>
        <s v="PAMELA MEDINA"/>
        <s v="QUINTEROS JAVIERO"/>
        <s v="ROSA CARLOS"/>
        <s v="TIZIANA TECILLA"/>
        <s v="YAMILA MONJES"/>
        <s v="YANINA FABIANA PERALTA"/>
      </sharedItems>
    </cacheField>
    <cacheField name="[Measures].[Suma de DEUDA_ATRASADA]" caption="Suma de DEUDA_ATRASADA" numFmtId="0" hierarchy="32" level="32767"/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2" memberValueDatatype="130" unbalanced="0">
      <fieldsUsage count="2">
        <fieldUsage x="-1"/>
        <fieldUsage x="0"/>
      </fieldsUsage>
    </cacheHierarchy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8379626" backgroundQuery="1" createdVersion="8" refreshedVersion="8" minRefreshableVersion="3" recordCount="0" supportSubquery="1" supportAdvancedDrill="1" xr:uid="{8D10652C-D249-4996-8CB3-1D8203A9DFBF}">
  <cacheSource type="external" connectionId="1"/>
  <cacheFields count="3">
    <cacheField name="[TBL_CUOTAS].[CUOTAS_ATRASADAS].[CUOTAS_ATRASADAS]" caption="CUOTAS_ATRASADAS" numFmtId="0" hierarchy="13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BL_CUOTAS].[CUOTAS_ATRASADAS].&amp;[0]"/>
            <x15:cachedUniqueName index="1" name="[TBL_CUOTAS].[CUOTAS_ATRASADAS].&amp;[1]"/>
          </x15:cachedUniqueNames>
        </ext>
      </extLst>
    </cacheField>
    <cacheField name="[Measures].[Recuento de CUOTAS_ATRASADAS]" caption="Recuento de CUOTAS_ATRASADAS" numFmtId="0" hierarchy="35" level="32767"/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2" memberValueDatatype="20" unbalanced="0">
      <fieldsUsage count="2">
        <fieldUsage x="-1"/>
        <fieldUsage x="0"/>
      </fieldsUsage>
    </cacheHierarchy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872685" backgroundQuery="1" createdVersion="8" refreshedVersion="8" minRefreshableVersion="3" recordCount="0" supportSubquery="1" supportAdvancedDrill="1" xr:uid="{00909414-AC5E-4CEE-9C83-151CE1A84310}">
  <cacheSource type="external" connectionId="1"/>
  <cacheFields count="3">
    <cacheField name="[TBL_PRESTAMOS].[PRESTAMISTA].[PRESTAMISTA]" caption="PRESTAMISTA" numFmtId="0" hierarchy="17" level="1">
      <sharedItems count="5">
        <s v="PREST-1"/>
        <s v="PREST-2"/>
        <s v="PREST-3"/>
        <s v="PREST-4"/>
        <s v="PREST-5"/>
      </sharedItems>
    </cacheField>
    <cacheField name="[Measures].[Suma de MONTO_PRESTAMO]" caption="Suma de MONTO_PRESTAMO" numFmtId="0" hierarchy="28" level="32767"/>
    <cacheField name="[TBL_PRESTAMOS].[CLIENTE].[CLIENTE]" caption="CLIENTE" numFmtId="0" hierarchy="16" level="1">
      <sharedItems containsNonDate="0" count="8">
        <s v="ARCE GUSTAVO"/>
        <s v="FRANCO VARELA"/>
        <s v="GABRIEL GONZALES"/>
        <s v="MACARENA ÑAÑEZ"/>
        <s v="NEGRO VEGA"/>
        <s v="PAMELA MEDINA"/>
        <s v="YANINA TECILLA"/>
        <s v="YANINA TECILLA - GORRAS"/>
      </sharedItems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>
      <fieldsUsage count="2">
        <fieldUsage x="-1"/>
        <fieldUsage x="0"/>
      </fieldsUsage>
    </cacheHierarchy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0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79249074073" backgroundQuery="1" createdVersion="8" refreshedVersion="8" minRefreshableVersion="3" recordCount="0" supportSubquery="1" supportAdvancedDrill="1" xr:uid="{2ADCB1D4-6ED7-4593-96EB-E538FB5D355E}">
  <cacheSource type="external" connectionId="1"/>
  <cacheFields count="4">
    <cacheField name="[Measures].[Suma de MONTO_PRESTAMO]" caption="Suma de MONTO_PRESTAMO" numFmtId="0" hierarchy="28" level="32767"/>
    <cacheField name="[TBL_PRESTAMOS].[PRESTAMISTA].[PRESTAMISTA]" caption="PRESTAMISTA" numFmtId="0" hierarchy="17" level="1">
      <sharedItems count="5">
        <s v="PREST-1"/>
        <s v="PREST-2"/>
        <s v="PREST-3"/>
        <s v="PREST-4"/>
        <s v="PREST-5"/>
      </sharedItems>
    </cacheField>
    <cacheField name="[TBL_PRESTAMOS].[FECHA_PRESTAMO (mes)].[FECHA_PRESTAMO (mes)]" caption="FECHA_PRESTAMO (mes)" numFmtId="0" hierarchy="22" level="1">
      <sharedItems containsNonDate="0" count="4">
        <s v="sep"/>
        <s v="oct"/>
        <s v="nov"/>
        <s v="dic"/>
      </sharedItems>
    </cacheField>
    <cacheField name="[TBL_PRESTAMOS].[CLIENTE].[CLIENTE]" caption="CLIENTE" numFmtId="0" hierarchy="16" level="1">
      <sharedItems containsSemiMixedTypes="0" containsNonDate="0" containsString="0"/>
    </cacheField>
  </cacheFields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>
      <fieldsUsage count="2">
        <fieldUsage x="-1"/>
        <fieldUsage x="3"/>
      </fieldsUsage>
    </cacheHierarchy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>
      <fieldsUsage count="2">
        <fieldUsage x="-1"/>
        <fieldUsage x="1"/>
      </fieldsUsage>
    </cacheHierarchy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2" memberValueDatatype="130" unbalanced="0">
      <fieldsUsage count="2">
        <fieldUsage x="-1"/>
        <fieldUsage x="2"/>
      </fieldsUsage>
    </cacheHierarchy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BL_CUOTAS" uniqueName="[TBL_CUOTAS]" caption="TBL_CUOTAS"/>
    <dimension name="TBL_PRESTAMOS" uniqueName="[TBL_PRESTAMOS]" caption="TBL_PRESTAMOS"/>
  </dimensions>
  <measureGroups count="2">
    <measureGroup name="TBL_CUOTAS" caption="TBL_CUOTAS"/>
    <measureGroup name="TBL_PRESTAMOS" caption="TBL_PRESTAMOS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Victus" refreshedDate="46003.962390972221" backgroundQuery="1" createdVersion="3" refreshedVersion="8" minRefreshableVersion="3" recordCount="0" supportSubquery="1" supportAdvancedDrill="1" xr:uid="{E6823E77-E61E-4991-A6A2-95AEA006BEF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1">
    <cacheHierarchy uniqueName="[TBL_CUOTAS].[ID_PRESTAMO]" caption="ID_PRESTAMO" attribute="1" defaultMemberUniqueName="[TBL_CUOTAS].[ID_PRESTAMO].[All]" allUniqueName="[TBL_CUOTAS].[ID_PRESTAMO].[All]" dimensionUniqueName="[TBL_CUOTAS]" displayFolder="" count="0" memberValueDatatype="20" unbalanced="0"/>
    <cacheHierarchy uniqueName="[TBL_CUOTAS].[NRO_CUOTA]" caption="NRO_CUOTA" attribute="1" defaultMemberUniqueName="[TBL_CUOTAS].[NRO_CUOTA].[All]" allUniqueName="[TBL_CUOTAS].[NRO_CUOTA].[All]" dimensionUniqueName="[TBL_CUOTAS]" displayFolder="" count="0" memberValueDatatype="20" unbalanced="0"/>
    <cacheHierarchy uniqueName="[TBL_CUOTAS].[CLIENTE]" caption="CLIENTE" attribute="1" defaultMemberUniqueName="[TBL_CUOTAS].[CLIENTE].[All]" allUniqueName="[TBL_CUOTAS].[CLIENTE].[All]" dimensionUniqueName="[TBL_CUOTAS]" displayFolder="" count="0" memberValueDatatype="130" unbalanced="0"/>
    <cacheHierarchy uniqueName="[TBL_CUOTAS].[PRESTAMISTA]" caption="PRESTAMISTA" attribute="1" defaultMemberUniqueName="[TBL_CUOTAS].[PRESTAMISTA].[All]" allUniqueName="[TBL_CUOTAS].[PRESTAMISTA].[All]" dimensionUniqueName="[TBL_CUOTAS]" displayFolder="" count="0" memberValueDatatype="130" unbalanced="0"/>
    <cacheHierarchy uniqueName="[TBL_CUOTAS].[FECHA_CUOTA]" caption="FECHA_CUOTA" attribute="1" time="1" defaultMemberUniqueName="[TBL_CUOTAS].[FECHA_CUOTA].[All]" allUniqueName="[TBL_CUOTAS].[FECHA_CUOTA].[All]" dimensionUniqueName="[TBL_CUOTAS]" displayFolder="" count="0" memberValueDatatype="7" unbalanced="0"/>
    <cacheHierarchy uniqueName="[TBL_CUOTAS].[MONTO_CUOTA]" caption="MONTO_CUOTA" attribute="1" defaultMemberUniqueName="[TBL_CUOTAS].[MONTO_CUOTA].[All]" allUniqueName="[TBL_CUOTAS].[MONTO_CUOTA].[All]" dimensionUniqueName="[TBL_CUOTAS]" displayFolder="" count="0" memberValueDatatype="5" unbalanced="0"/>
    <cacheHierarchy uniqueName="[TBL_CUOTAS].[ESTADO]" caption="ESTADO" attribute="1" defaultMemberUniqueName="[TBL_CUOTAS].[ESTADO].[All]" allUniqueName="[TBL_CUOTAS].[ESTADO].[All]" dimensionUniqueName="[TBL_CUOTAS]" displayFolder="" count="0" memberValueDatatype="130" unbalanced="0"/>
    <cacheHierarchy uniqueName="[TBL_CUOTAS].[MONTO_PAGADO]" caption="MONTO_PAGADO" attribute="1" defaultMemberUniqueName="[TBL_CUOTAS].[MONTO_PAGADO].[All]" allUniqueName="[TBL_CUOTAS].[MONTO_PAGADO].[All]" dimensionUniqueName="[TBL_CUOTAS]" displayFolder="" count="0" memberValueDatatype="130" unbalanced="0"/>
    <cacheHierarchy uniqueName="[TBL_CUOTAS].[INGRESO]" caption="INGRESO" attribute="1" defaultMemberUniqueName="[TBL_CUOTAS].[INGRESO].[All]" allUniqueName="[TBL_CUOTAS].[INGRESO].[All]" dimensionUniqueName="[TBL_CUOTAS]" displayFolder="" count="0" memberValueDatatype="20" unbalanced="0"/>
    <cacheHierarchy uniqueName="[TBL_CUOTAS].[FECHA_CUOTA (año)]" caption="FECHA_CUOTA (año)" attribute="1" defaultMemberUniqueName="[TBL_CUOTAS].[FECHA_CUOTA (año)].[All]" allUniqueName="[TBL_CUOTAS].[FECHA_CUOTA (año)].[All]" dimensionUniqueName="[TBL_CUOTAS]" displayFolder="" count="2" memberValueDatatype="130" unbalanced="0"/>
    <cacheHierarchy uniqueName="[TBL_CUOTAS].[FECHA_CUOTA (trimestre)]" caption="FECHA_CUOTA (trimestre)" attribute="1" defaultMemberUniqueName="[TBL_CUOTAS].[FECHA_CUOTA (trimestre)].[All]" allUniqueName="[TBL_CUOTAS].[FECHA_CUOTA (trimestre)].[All]" dimensionUniqueName="[TBL_CUOTAS]" displayFolder="" count="0" memberValueDatatype="130" unbalanced="0"/>
    <cacheHierarchy uniqueName="[TBL_CUOTAS].[FECHA_CUOTA (mes)]" caption="FECHA_CUOTA (mes)" attribute="1" defaultMemberUniqueName="[TBL_CUOTAS].[FECHA_CUOTA (mes)].[All]" allUniqueName="[TBL_CUOTAS].[FECHA_CUOTA (mes)].[All]" dimensionUniqueName="[TBL_CUOTAS]" displayFolder="" count="2" memberValueDatatype="130" unbalanced="0"/>
    <cacheHierarchy uniqueName="[TBL_CUOTAS].[CUOTA_ATRASADA]" caption="CUOTA_ATRASADA" attribute="1" defaultMemberUniqueName="[TBL_CUOTAS].[CUOTA_ATRASADA].[All]" allUniqueName="[TBL_CUOTAS].[CUOTA_ATRASADA].[All]" dimensionUniqueName="[TBL_CUOTAS]" displayFolder="" count="0" memberValueDatatype="11" unbalanced="0"/>
    <cacheHierarchy uniqueName="[TBL_CUOTAS].[CUOTAS_ATRASADAS]" caption="CUOTAS_ATRASADAS" attribute="1" defaultMemberUniqueName="[TBL_CUOTAS].[CUOTAS_ATRASADAS].[All]" allUniqueName="[TBL_CUOTAS].[CUOTAS_ATRASADAS].[All]" dimensionUniqueName="[TBL_CUOTAS]" displayFolder="" count="0" memberValueDatatype="20" unbalanced="0"/>
    <cacheHierarchy uniqueName="[TBL_CUOTAS].[DEUDA_ATRASADA]" caption="DEUDA_ATRASADA" attribute="1" defaultMemberUniqueName="[TBL_CUOTAS].[DEUDA_ATRASADA].[All]" allUniqueName="[TBL_CUOTAS].[DEUDA_ATRASADA].[All]" dimensionUniqueName="[TBL_CUOTAS]" displayFolder="" count="0" memberValueDatatype="20" unbalanced="0"/>
    <cacheHierarchy uniqueName="[TBL_PRESTAMOS].[ID_PRESTAMO]" caption="ID_PRESTAMO" attribute="1" defaultMemberUniqueName="[TBL_PRESTAMOS].[ID_PRESTAMO].[All]" allUniqueName="[TBL_PRESTAMOS].[ID_PRESTAMO].[All]" dimensionUniqueName="[TBL_PRESTAMOS]" displayFolder="" count="0" memberValueDatatype="20" unbalanced="0"/>
    <cacheHierarchy uniqueName="[TBL_PRESTAMOS].[CLIENTE]" caption="CLIENTE" attribute="1" defaultMemberUniqueName="[TBL_PRESTAMOS].[CLIENTE].[All]" allUniqueName="[TBL_PRESTAMOS].[CLIENTE].[All]" dimensionUniqueName="[TBL_PRESTAMOS]" displayFolder="" count="2" memberValueDatatype="130" unbalanced="0"/>
    <cacheHierarchy uniqueName="[TBL_PRESTAMOS].[PRESTAMISTA]" caption="PRESTAMISTA" attribute="1" defaultMemberUniqueName="[TBL_PRESTAMOS].[PRESTAMISTA].[All]" allUniqueName="[TBL_PRESTAMOS].[PRESTAMISTA].[All]" dimensionUniqueName="[TBL_PRESTAMOS]" displayFolder="" count="2" memberValueDatatype="130" unbalanced="0"/>
    <cacheHierarchy uniqueName="[TBL_PRESTAMOS].[FECHA_PRESTAMO]" caption="FECHA_PRESTAMO" attribute="1" time="1" defaultMemberUniqueName="[TBL_PRESTAMOS].[FECHA_PRESTAMO].[All]" allUniqueName="[TBL_PRESTAMOS].[FECHA_PRESTAMO].[All]" dimensionUniqueName="[TBL_PRESTAMOS]" displayFolder="" count="0" memberValueDatatype="7" unbalanced="0"/>
    <cacheHierarchy uniqueName="[TBL_PRESTAMOS].[MONTO_PRESTAMO]" caption="MONTO_PRESTAMO" attribute="1" defaultMemberUniqueName="[TBL_PRESTAMOS].[MONTO_PRESTAMO].[All]" allUniqueName="[TBL_PRESTAMOS].[MONTO_PRESTAMO].[All]" dimensionUniqueName="[TBL_PRESTAMOS]" displayFolder="" count="0" memberValueDatatype="20" unbalanced="0"/>
    <cacheHierarchy uniqueName="[TBL_PRESTAMOS].[CANT_CUOTAS]" caption="CANT_CUOTAS" attribute="1" defaultMemberUniqueName="[TBL_PRESTAMOS].[CANT_CUOTAS].[All]" allUniqueName="[TBL_PRESTAMOS].[CANT_CUOTAS].[All]" dimensionUniqueName="[TBL_PRESTAMOS]" displayFolder="" count="0" memberValueDatatype="20" unbalanced="0"/>
    <cacheHierarchy uniqueName="[TBL_PRESTAMOS].[CUOTA_TIPICA]" caption="CUOTA_TIPICA" attribute="1" defaultMemberUniqueName="[TBL_PRESTAMOS].[CUOTA_TIPICA].[All]" allUniqueName="[TBL_PRESTAMOS].[CUOTA_TIPICA].[All]" dimensionUniqueName="[TBL_PRESTAMOS]" displayFolder="" count="0" memberValueDatatype="5" unbalanced="0"/>
    <cacheHierarchy uniqueName="[TBL_PRESTAMOS].[FECHA_PRESTAMO (mes)]" caption="FECHA_PRESTAMO (mes)" attribute="1" defaultMemberUniqueName="[TBL_PRESTAMOS].[FECHA_PRESTAMO (mes)].[All]" allUniqueName="[TBL_PRESTAMOS].[FECHA_PRESTAMO (mes)].[All]" dimensionUniqueName="[TBL_PRESTAMOS]" displayFolder="" count="2" memberValueDatatype="130" unbalanced="0"/>
    <cacheHierarchy uniqueName="[TBL_CUOTAS].[FECHA_CUOTA (índice de meses)]" caption="FECHA_CUOTA (índice de meses)" attribute="1" defaultMemberUniqueName="[TBL_CUOTAS].[FECHA_CUOTA (índice de meses)].[All]" allUniqueName="[TBL_CUOTAS].[FECHA_CUOTA (índice de meses)].[All]" dimensionUniqueName="[TBL_CUOTAS]" displayFolder="" count="0" memberValueDatatype="20" unbalanced="0" hidden="1"/>
    <cacheHierarchy uniqueName="[TBL_PRESTAMOS].[FECHA_PRESTAMO (índice de meses)]" caption="FECHA_PRESTAMO (índice de meses)" attribute="1" defaultMemberUniqueName="[TBL_PRESTAMOS].[FECHA_PRESTAMO (índice de meses)].[All]" allUniqueName="[TBL_PRESTAMOS].[FECHA_PRESTAMO (índice de meses)].[All]" dimensionUniqueName="[TBL_PRESTAMOS]" displayFolder="" count="0" memberValueDatatype="20" unbalanced="0" hidden="1"/>
    <cacheHierarchy uniqueName="[Measures].[__XL_Count TBL_PRESTAMOS]" caption="__XL_Count TBL_PRESTAMOS" measure="1" displayFolder="" measureGroup="TBL_PRESTAMOS" count="0" hidden="1"/>
    <cacheHierarchy uniqueName="[Measures].[__XL_Count TBL_CUOTAS]" caption="__XL_Count TBL_CUOTAS" measure="1" displayFolder="" measureGroup="TBL_CUOTAS" count="0" hidden="1"/>
    <cacheHierarchy uniqueName="[Measures].[__No measures defined]" caption="__No measures defined" measure="1" displayFolder="" count="0" hidden="1"/>
    <cacheHierarchy uniqueName="[Measures].[Suma de MONTO_PRESTAMO]" caption="Suma de MONTO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INGRESO]" caption="Suma de INGRESO" measure="1" displayFolder="" measureGroup="TBL_CUOT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CUOTA_ATRASADA]" caption="Recuento de CUOT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LIENTE]" caption="Count of CLIENTE" measure="1" displayFolder="" measureGroup="TBL_CUOTA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DEUDA_ATRASADA]" caption="Suma de DEUDA_ATRASADA" measure="1" displayFolder="" measureGroup="TBL_CUO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FECHA_CUOTA]" caption="Recuento de FECHA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CUOTAS_ATRASADAS]" caption="Suma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CUOTAS_ATRASADAS]" caption="Recuento de CUOTAS_ATRASADAS" measure="1" displayFolder="" measureGroup="TBL_CUO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NT_CUOTAS]" caption="Sum of CANT_CUOTAS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D_PRESTAMO]" caption="Suma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_PRESTAMO]" caption="Recuento de ID_PRESTAMO" measure="1" displayFolder="" measureGroup="TBL_PRESTAM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CUOTA_TIPICA]" caption="Suma de CUOTA_TIPICA" measure="1" displayFolder="" measureGroup="TBL_PRESTAM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MONTO_CUOTA]" caption="Suma de MONTO_CUOTA" measure="1" displayFolder="" measureGroup="TBL_CUO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98069698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537D1-547E-410B-8588-9709CFE79392}" name="TablaDinámica15" cacheId="1443" applyNumberFormats="0" applyBorderFormats="0" applyFontFormats="0" applyPatternFormats="0" applyAlignmentFormats="0" applyWidthHeightFormats="1" dataCaption="Valores" tag="a3c22806-ce52-409a-91ce-be869782256d" updatedVersion="8" minRefreshableVersion="3" useAutoFormatting="1" subtotalHiddenItems="1" itemPrintTitles="1" createdVersion="8" indent="0" outline="1" outlineData="1" multipleFieldFilters="0" chartFormat="14" rowHeaderCaption="Estado del prestamo">
  <location ref="Q26:R35" firstHeaderRow="1" firstDataRow="1" firstDataCol="1"/>
  <pivotFields count="5">
    <pivotField allDrilled="1" subtotalTop="0" showAll="0" dataSourceSort="1" defaultSubtotal="0" defaultAttributeDrillState="1">
      <items count="2">
        <item n="Al día" x="0"/>
        <item n="Morosos"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</pivotFields>
  <rowFields count="2">
    <field x="2"/>
    <field x="3"/>
  </rowFields>
  <rowItems count="9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a de DEUDA_ATRASADA" fld="1" baseField="3" baseItem="1" numFmtId="164"/>
  </dataFields>
  <chartFormats count="5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idad de cuotas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2">
    <rowHierarchyUsage hierarchyUsage="9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02C1B-59B0-4479-AD7B-A8851721D9A3}" name="Tabla_cantidad_prestamos" cacheId="1425" applyNumberFormats="0" applyBorderFormats="0" applyFontFormats="0" applyPatternFormats="0" applyAlignmentFormats="0" applyWidthHeightFormats="1" dataCaption="Valores" tag="cf34de38-6570-47b9-91db-01af7a4dfa91" updatedVersion="8" minRefreshableVersion="3" useAutoFormatting="1" subtotalHiddenItems="1" itemPrintTitles="1" createdVersion="8" indent="0" outline="1" outlineData="1" multipleFieldFilters="0">
  <location ref="J38:J39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Cantidad de prestamos" fld="0" subtotal="count" baseField="0" baseItem="0"/>
  </dataFields>
  <formats count="3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idad de prestamos"/>
    <pivotHierarchy dragToData="1"/>
    <pivotHierarchy dragToData="1"/>
  </pivotHierarchie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06E9B-9B51-43C5-8870-CB2DA81C68A6}" name="Tabla_al_dia" cacheId="1440" applyNumberFormats="0" applyBorderFormats="0" applyFontFormats="0" applyPatternFormats="0" applyAlignmentFormats="0" applyWidthHeightFormats="1" dataCaption="Valores" tag="398c0061-5f03-4819-86e3-e3bb6d31ae82" updatedVersion="8" minRefreshableVersion="3" useAutoFormatting="1" subtotalHiddenItems="1" itemPrintTitles="1" createdVersion="8" indent="0" outline="1" outlineData="1" multipleFieldFilters="0" chartFormat="10" rowHeaderCaption="Estado del prestamo">
  <location ref="M27:N30" firstHeaderRow="1" firstDataRow="1" firstDataCol="1"/>
  <pivotFields count="3">
    <pivotField axis="axisRow" allDrilled="1" subtotalTop="0" showAll="0" dataSourceSort="1" defaultSubtotal="0" defaultAttributeDrillState="1">
      <items count="2">
        <item n="Al día" x="0"/>
        <item n="Morosos"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antidad de cuotas" fld="1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idad de cuotas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89677-F1D9-40FA-B5E5-5066B968A7CE}" name="Tabla_prest_cliente" cacheId="1434" applyNumberFormats="0" applyBorderFormats="0" applyFontFormats="0" applyPatternFormats="0" applyAlignmentFormats="0" applyWidthHeightFormats="1" dataCaption="Valores" tag="248858c9-1ca6-40bc-8138-a7ea37ad717d" updatedVersion="8" minRefreshableVersion="3" useAutoFormatting="1" subtotalHiddenItems="1" colGrandTotals="0" itemPrintTitles="1" createdVersion="8" indent="0" outline="1" outlineData="1" multipleFieldFilters="0" rowHeaderCaption="Prestamista">
  <location ref="G27:H33" firstHeaderRow="1" firstDataRow="1" firstDataCol="1"/>
  <pivotFields count="3">
    <pivotField axis="axisRow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dataField="1" subtotalTop="0" showAll="0" defaultSubtotal="0"/>
    <pivotField axis="axisRow" allDrilled="1" subtotalTop="0" showAll="0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0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1" baseField="0" baseItem="0" numFmtId="164"/>
  </dataFields>
  <formats count="11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dataOnly="0" outline="0" axis="axisValues" fieldPosition="0"/>
    </format>
    <format dxfId="29">
      <pivotArea dataOnly="0" labelOnly="1" outline="0" axis="axisValues" fieldPosition="0"/>
    </format>
    <format dxfId="28">
      <pivotArea field="0" type="button" dataOnly="0" labelOnly="1" outline="0" axis="axisRow" fieldPosition="0"/>
    </format>
    <format dxfId="27">
      <pivotArea field="0" type="button" dataOnly="0" labelOnly="1" outline="0" axis="axisRow" fieldPosition="0"/>
    </format>
    <format dxfId="26">
      <pivotArea dataOnly="0" labelOnly="1" outline="0" axis="axisValues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0" showColHeaders="1" showRowStripes="0" showColStripes="0" showLastColumn="1"/>
  <rowHierarchiesUsage count="2">
    <rowHierarchyUsage hierarchyUsage="17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83435-463D-43BC-AB66-B5AF2E0E4D37}" name="Tabla_morosos" cacheId="1431" applyNumberFormats="0" applyBorderFormats="0" applyFontFormats="0" applyPatternFormats="0" applyAlignmentFormats="0" applyWidthHeightFormats="1" dataCaption="Valores" tag="7a7b515d-213e-46ff-b6b0-64e98938b1f8" updatedVersion="8" minRefreshableVersion="3" useAutoFormatting="1" subtotalHiddenItems="1" itemPrintTitles="1" createdVersion="8" indent="0" outline="1" outlineData="1" multipleFieldFilters="0" chartFormat="8" rowHeaderCaption="Cliente">
  <location ref="K5:L21" firstHeaderRow="1" firstDataRow="1" firstDataCol="1"/>
  <pivotFields count="3">
    <pivotField axis="axisRow" allDrilled="1" subtotalTop="0" showAll="0" measureFilter="1" defaultSubtotal="0" defaultAttributeDrillState="1">
      <items count="15">
        <item x="5"/>
        <item x="9"/>
        <item x="0"/>
        <item x="1"/>
        <item x="2"/>
        <item x="3"/>
        <item x="4"/>
        <item x="6"/>
        <item x="7"/>
        <item x="8"/>
        <item x="10"/>
        <item x="11"/>
        <item x="12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uotas atrasadas" fld="1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do atrasado"/>
    <pivotHierarchy dragToData="1" caption="Cuotas"/>
    <pivotHierarchy dragToData="1" caption="Cuotas atrasadas"/>
    <pivotHierarchy dragToData="1" caption="Recuento de CUOTAS_ATRASADAS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filters count="1">
    <filter fld="0" type="valueGreaterThan" id="1" iMeasureHier="34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21D3C-156B-45AD-8F46-013709FE56ED}" name="Tabla_clientes" cacheId="1380" applyNumberFormats="0" applyBorderFormats="0" applyFontFormats="0" applyPatternFormats="0" applyAlignmentFormats="0" applyWidthHeightFormats="1" dataCaption="Valores" tag="97c1d61e-22e2-47e2-a04d-ed5597ff8cdf" updatedVersion="8" minRefreshableVersion="3" useAutoFormatting="1" subtotalHiddenItems="1" itemPrintTitles="1" createdVersion="8" indent="0" outline="1" outlineData="1" multipleFieldFilters="0">
  <location ref="A4:D78" firstHeaderRow="0" firstDataRow="1" firstDataCol="1"/>
  <pivotFields count="4">
    <pivotField axis="axisRow" allDrilled="1" subtotalTop="0" showAll="0" dataSourceSort="1" defaultSubtotal="0" defaultAttributeDrillState="1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nto prestamo" fld="1" baseField="0" baseItem="0" numFmtId="164"/>
    <dataField name="Cantidad de cuotas" fld="2" baseField="0" baseItem="0"/>
    <dataField name="Suma de MONTO_CUOTA" fld="3" baseField="0" baseItem="1" numFmtId="164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onto prestam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idad de cuotas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ESTAMOS]"/>
        <x15:activeTabTopLevelEntity name="[TBL_CUO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78BD3-3E31-4CE2-ADFF-CCD2949D4326}" name="TablaDinámica14" cacheId="1449" applyNumberFormats="0" applyBorderFormats="0" applyFontFormats="0" applyPatternFormats="0" applyAlignmentFormats="0" applyWidthHeightFormats="1" dataCaption="Valores" tag="64fad80e-88c0-4d8c-b147-494c3daaf2c1" updatedVersion="8" minRefreshableVersion="3" useAutoFormatting="1" subtotalHiddenItems="1" itemPrintTitles="1" createdVersion="8" indent="0" outline="1" outlineData="1" multipleFieldFilters="0" chartFormat="9">
  <location ref="T26:V35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2"/>
  </rowFields>
  <rowItems count="9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Ingreso" fld="3" baseField="2" baseItem="1" numFmtId="164"/>
    <dataField name="Esperado" fld="0" baseField="1" baseItem="0" numFmtId="164"/>
  </dataFields>
  <formats count="2">
    <format dxfId="3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37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gres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Esperado"/>
  </pivotHierarchies>
  <pivotTableStyleInfo name="PivotStyleLight15" showRowHeaders="1" showColHeaders="1" showRowStripes="0" showColStripes="0" showLastColumn="1"/>
  <rowHierarchiesUsage count="2">
    <rowHierarchyUsage hierarchyUsage="9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682F6-C5F6-4152-8637-C36F2EC138FC}" name="TablaDinámica16" cacheId="1446" applyNumberFormats="0" applyBorderFormats="0" applyFontFormats="0" applyPatternFormats="0" applyAlignmentFormats="0" applyWidthHeightFormats="1" dataCaption="Valores" tag="1362e28d-6322-46bf-8ebb-62480268ee7f" updatedVersion="8" minRefreshableVersion="3" useAutoFormatting="1" subtotalHiddenItems="1" itemPrintTitles="1" createdVersion="8" indent="0" outline="1" outlineData="1" multipleFieldFilters="0" chartFormat="8" rowHeaderCaption="Cliente">
  <location ref="P5:Q21" firstHeaderRow="1" firstDataRow="1" firstDataCol="1"/>
  <pivotFields count="3">
    <pivotField axis="axisRow" allDrilled="1" subtotalTop="0" showAll="0" measureFilter="1" defaultSubtotal="0" defaultAttributeDrillState="1">
      <items count="15">
        <item x="5"/>
        <item x="9"/>
        <item x="0"/>
        <item x="1"/>
        <item x="2"/>
        <item x="3"/>
        <item x="4"/>
        <item x="6"/>
        <item x="7"/>
        <item x="8"/>
        <item x="10"/>
        <item x="11"/>
        <item x="12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aldo atrasado" fld="1" baseField="0" baseItem="0" numFmtId="164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do atrasado"/>
    <pivotHierarchy dragToData="1" caption="Cuotas"/>
    <pivotHierarchy dragToData="1" caption="Cuotas atrasadas"/>
    <pivotHierarchy dragToData="1" caption="Recuento de CUOTAS_ATRASADAS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filters count="1">
    <filter fld="0" type="valueGreaterThan" id="1" iMeasureHier="34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DE117-4A32-43AA-A910-FCA0557ECCAA}" name="Tabla_ingresos" cacheId="1428" applyNumberFormats="0" applyBorderFormats="0" applyFontFormats="0" applyPatternFormats="0" applyAlignmentFormats="0" applyWidthHeightFormats="1" dataCaption="Valores" tag="7ad9a0a6-87bf-4017-8f89-e78276b0d45f" updatedVersion="8" minRefreshableVersion="3" useAutoFormatting="1" subtotalHiddenItems="1" itemPrintTitles="1" createdVersion="8" indent="0" outline="1" outlineData="1" multipleFieldFilters="0" chartFormat="2">
  <location ref="J27:K36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9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a de INGRESO" fld="0" baseField="0" baseItem="9" numFmtId="164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2">
    <rowHierarchyUsage hierarchyUsage="9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77AD7-76AA-4A69-ADF5-47714796C3A3}" name="Tabla_prest_mes" cacheId="1437" applyNumberFormats="0" applyBorderFormats="0" applyFontFormats="0" applyPatternFormats="0" applyAlignmentFormats="0" applyWidthHeightFormats="1" dataCaption="Valores" tag="4a5d515f-7305-4e15-bc81-81ebab4bea6a" updatedVersion="8" minRefreshableVersion="3" useAutoFormatting="1" subtotalHiddenItems="1" itemPrintTitles="1" createdVersion="8" indent="0" outline="1" outlineData="1" multipleFieldFilters="0" rowHeaderCaption="Prestamista">
  <location ref="H6:I12" firstHeaderRow="1" firstDataRow="1" firstDataCol="1"/>
  <pivotFields count="4">
    <pivotField dataField="1" showAll="0" defaultSubtotal="0"/>
    <pivotField axis="axisRow" allDrilled="1" showAll="0" dataSourceSort="1" defaultSubtotal="0" defaultAttributeDrillState="1">
      <items count="4">
        <item x="0"/>
        <item x="1"/>
        <item x="2"/>
        <item x="3"/>
      </items>
    </pivotField>
    <pivotField axis="axisRow" allDrilled="1" showAll="0" dataSourceSort="1" defaultSubtotal="0">
      <items count="5">
        <item x="0" e="0"/>
        <item x="1" e="0"/>
        <item x="2" e="0"/>
        <item x="3" e="0"/>
        <item x="4" e="0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0" baseField="2" baseItem="0" numFmtId="164"/>
  </dataFields>
  <formats count="10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2" type="button" dataOnly="0" labelOnly="1" outline="0" axis="axisRow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  <format dxfId="41">
      <pivotArea field="2" type="button" dataOnly="0" labelOnly="1" outline="0" axis="axisRow" fieldPosition="0"/>
    </format>
    <format dxfId="40">
      <pivotArea field="2" type="button" dataOnly="0" labelOnly="1" outline="0" axis="axisRow" fieldPosition="0"/>
    </format>
    <format dxfId="39">
      <pivotArea dataOnly="0" labelOnly="1" outline="0" axis="axisValues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0" showColHeaders="1" showRowStripes="0" showColStripes="0" showLastColumn="1"/>
  <rowHierarchiesUsage count="2">
    <rowHierarchyUsage hierarchyUsage="17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D5E4C-A1AD-4F65-AE2E-F42027AB07C7}" name="TablaDinámica19" cacheId="1458" applyNumberFormats="0" applyBorderFormats="0" applyFontFormats="0" applyPatternFormats="0" applyAlignmentFormats="0" applyWidthHeightFormats="1" dataCaption="Valores" tag="287c7564-e4c9-4673-84be-5b91c9c6fa8f" updatedVersion="8" minRefreshableVersion="3" useAutoFormatting="1" subtotalHiddenItems="1" itemPrintTitles="1" createdVersion="8" indent="0" outline="1" outlineData="1" multipleFieldFilters="0" chartFormat="8" rowHeaderCaption="Estado del prestamo">
  <location ref="A16:B19" firstHeaderRow="1" firstDataRow="1" firstDataCol="1"/>
  <pivotFields count="3">
    <pivotField axis="axisRow" allDrilled="1" subtotalTop="0" showAll="0" dataSourceSort="1" defaultSubtotal="0" defaultAttributeDrillState="1">
      <items count="2">
        <item n="Al día" x="0"/>
        <item n="Morosos"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antidad de cuotas" fld="1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idad de cuotas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79361-2B01-4FD7-BEC9-08DFB5F8C530}" name="TablaDinámica18" cacheId="1455" applyNumberFormats="0" applyBorderFormats="0" applyFontFormats="0" applyPatternFormats="0" applyAlignmentFormats="0" applyWidthHeightFormats="1" dataCaption="Valores" tag="635b7d6d-c436-4f35-8ff4-5225167be786" updatedVersion="8" minRefreshableVersion="3" useAutoFormatting="1" subtotalHiddenItems="1" itemPrintTitles="1" createdVersion="8" indent="0" outline="1" outlineData="1" multipleFieldFilters="0" chartFormat="11" rowHeaderCaption="Cliente">
  <location ref="E2:F18" firstHeaderRow="1" firstDataRow="1" firstDataCol="1"/>
  <pivotFields count="3">
    <pivotField axis="axisRow" allDrilled="1" subtotalTop="0" showAll="0" measureFilter="1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 v="13"/>
    </i>
    <i>
      <x/>
    </i>
    <i>
      <x v="8"/>
    </i>
    <i>
      <x v="5"/>
    </i>
    <i>
      <x v="9"/>
    </i>
    <i>
      <x v="14"/>
    </i>
    <i>
      <x v="1"/>
    </i>
    <i>
      <x v="3"/>
    </i>
    <i>
      <x v="10"/>
    </i>
    <i>
      <x v="6"/>
    </i>
    <i>
      <x v="11"/>
    </i>
    <i>
      <x v="2"/>
    </i>
    <i>
      <x v="7"/>
    </i>
    <i>
      <x v="4"/>
    </i>
    <i>
      <x v="12"/>
    </i>
    <i t="grand">
      <x/>
    </i>
  </rowItems>
  <colItems count="1">
    <i/>
  </colItems>
  <dataFields count="1">
    <dataField name="Saldo atrasado" fld="1" baseField="0" baseItem="0" numFmtId="164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do atrasado"/>
    <pivotHierarchy dragToData="1" caption="Cuotas"/>
    <pivotHierarchy dragToData="1" caption="Cuotas atrasadas"/>
    <pivotHierarchy dragToData="1" caption="Recuento de CUOTAS_ATRASADAS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filters count="1">
    <filter fld="0" type="valueGreaterThan" id="1" iMeasureHier="34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4B004-0D50-4D56-8F0D-137A0DFEFA31}" name="Tabla_esperado" cacheId="1452" applyNumberFormats="0" applyBorderFormats="0" applyFontFormats="0" applyPatternFormats="0" applyAlignmentFormats="0" applyWidthHeightFormats="1" dataCaption="Valores" tag="eaaa9e3b-f31e-4eee-b931-52346f44d614" updatedVersion="8" minRefreshableVersion="3" useAutoFormatting="1" subtotalHiddenItems="1" itemPrintTitles="1" createdVersion="8" indent="0" outline="1" outlineData="1" multipleFieldFilters="0" chartFormat="9">
  <location ref="A2:C11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2"/>
  </rowFields>
  <rowItems count="9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Esperado" fld="0" baseField="1" baseItem="0" numFmtId="164"/>
    <dataField name="Ingreso" fld="3" baseField="2" baseItem="1" numFmtId="164"/>
  </dataFields>
  <formats count="2">
    <format dxfId="1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10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8" format="12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gres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Esperado"/>
  </pivotHierarchies>
  <pivotTableStyleInfo name="PivotStyleLight15" showRowHeaders="1" showColHeaders="1" showRowStripes="0" showColStripes="0" showLastColumn="1"/>
  <rowHierarchiesUsage count="2">
    <rowHierarchyUsage hierarchyUsage="9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026AF-F5B1-4497-83C2-D0E005D432CF}" name="TablaDinámica22" cacheId="1464" applyNumberFormats="0" applyBorderFormats="0" applyFontFormats="0" applyPatternFormats="0" applyAlignmentFormats="0" applyWidthHeightFormats="1" dataCaption="Valores" tag="21c17976-800f-4eb2-8d14-e93139658815" updatedVersion="8" minRefreshableVersion="3" useAutoFormatting="1" subtotalHiddenItems="1" itemPrintTitles="1" createdVersion="8" indent="0" outline="1" outlineData="1" multipleFieldFilters="0" chartFormat="3" rowHeaderCaption="Prestamista">
  <location ref="E22:F28" firstHeaderRow="1" firstDataRow="1" firstDataCol="1"/>
  <pivotFields count="4">
    <pivotField dataField="1" showAll="0" defaultSubtotal="0"/>
    <pivotField axis="axisRow" allDrilled="1" showAll="0" sortType="descending" defaultSubtotal="0">
      <items count="5">
        <item x="0" e="0"/>
        <item x="1" e="0"/>
        <item x="2" e="0"/>
        <item x="3" e="0"/>
        <item x="4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  <pivotField allDrilled="1" subtotalTop="0" showAll="0" dataSourceSort="1" defaultSubtotal="0" defaultAttributeDrillState="1"/>
  </pivotFields>
  <rowFields count="2">
    <field x="1"/>
    <field x="2"/>
  </rowFields>
  <rowItems count="6">
    <i>
      <x/>
    </i>
    <i>
      <x v="1"/>
    </i>
    <i>
      <x v="2"/>
    </i>
    <i>
      <x v="4"/>
    </i>
    <i>
      <x v="3"/>
    </i>
    <i t="grand">
      <x/>
    </i>
  </rowItems>
  <colItems count="1">
    <i/>
  </colItems>
  <dataFields count="1">
    <dataField name="Total" fld="0" baseField="1" baseItem="0" numFmtId="164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field="1" type="button" dataOnly="0" labelOnly="1" outline="0" axis="axisRow" fieldPosition="0"/>
    </format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0" showColHeaders="1" showRowStripes="0" showColStripes="0" showLastColumn="1"/>
  <rowHierarchiesUsage count="2">
    <rowHierarchyUsage hierarchyUsage="17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22558-56D6-4A7D-A3B4-E095B212C343}" name="TablaDinámica21" cacheId="1461" applyNumberFormats="0" applyBorderFormats="0" applyFontFormats="0" applyPatternFormats="0" applyAlignmentFormats="0" applyWidthHeightFormats="1" dataCaption="Valores" tag="c892b518-b41f-4cbd-a117-e6c470e09f7c" updatedVersion="8" minRefreshableVersion="3" useAutoFormatting="1" subtotalHiddenItems="1" colGrandTotals="0" itemPrintTitles="1" createdVersion="8" indent="0" outline="1" outlineData="1" multipleFieldFilters="0" rowHeaderCaption="Prestamista">
  <location ref="A23:B29" firstHeaderRow="1" firstDataRow="1" firstDataCol="1"/>
  <pivotFields count="3">
    <pivotField axis="axisRow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dataField="1" subtotalTop="0" showAll="0" defaultSubtotal="0"/>
    <pivotField axis="axisRow" allDrilled="1" subtotalTop="0" showAll="0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0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1" baseField="0" baseItem="0" numFmtId="164"/>
  </dataFields>
  <formats count="11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dataOnly="0" outline="0" axis="axisValues" fieldPosition="0"/>
    </format>
    <format dxfId="15">
      <pivotArea dataOnly="0" labelOnly="1" outline="0" axis="axisValues" fieldPosition="0"/>
    </format>
    <format dxfId="14">
      <pivotArea field="0" type="button" dataOnly="0" labelOnly="1" outline="0" axis="axisRow" fieldPosition="0"/>
    </format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0" showColHeaders="1" showRowStripes="0" showColStripes="0" showLastColumn="1"/>
  <rowHierarchiesUsage count="2">
    <rowHierarchyUsage hierarchyUsage="17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OTAS]"/>
        <x15:activeTabTopLevelEntity name="[TBL_PRESTAM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CUOTA__mes" xr10:uid="{2A466950-4CF7-409E-9A7B-73A4C07AB152}" sourceName="[TBL_CUOTAS].[FECHA_CUOTA (mes)]">
  <pivotTables>
    <pivotTable tabId="4" name="Tabla_al_dia"/>
    <pivotTable tabId="4" name="Tabla_cantidad_prestamos"/>
    <pivotTable tabId="4" name="Tabla_ingresos"/>
    <pivotTable tabId="4" name="Tabla_morosos"/>
    <pivotTable tabId="4" name="Tabla_prest_cliente"/>
    <pivotTable tabId="4" name="Tabla_prest_mes"/>
    <pivotTable tabId="4" name="TablaDinámica15"/>
    <pivotTable tabId="4" name="TablaDinámica16"/>
    <pivotTable tabId="4" name="TablaDinámica14"/>
    <pivotTable tabId="6" name="Tabla_esperado"/>
    <pivotTable tabId="6" name="TablaDinámica18"/>
    <pivotTable tabId="6" name="TablaDinámica19"/>
    <pivotTable tabId="6" name="TablaDinámica21"/>
    <pivotTable tabId="6" name="TablaDinámica22"/>
  </pivotTables>
  <data>
    <olap pivotCacheId="1980696982">
      <levels count="2">
        <level uniqueName="[TBL_CUOTAS].[FECHA_CUOTA (mes)].[(All)]" sourceCaption="(All)" count="0"/>
        <level uniqueName="[TBL_CUOTAS].[FECHA_CUOTA (mes)].[FECHA_CUOTA (mes)]" sourceCaption="FECHA_CUOTA (mes)" count="6">
          <ranges>
            <range startItem="0">
              <i n="[TBL_CUOTAS].[FECHA_CUOTA (mes)].&amp;[ene]" c="ene"/>
              <i n="[TBL_CUOTAS].[FECHA_CUOTA (mes)].&amp;[feb]" c="feb"/>
              <i n="[TBL_CUOTAS].[FECHA_CUOTA (mes)].&amp;[mar]" c="mar"/>
              <i n="[TBL_CUOTAS].[FECHA_CUOTA (mes)].&amp;[abr]" c="abr"/>
              <i n="[TBL_CUOTAS].[FECHA_CUOTA (mes)].&amp;[nov]" c="nov"/>
              <i n="[TBL_CUOTAS].[FECHA_CUOTA (mes)].&amp;[dic]" c="dic"/>
            </range>
          </ranges>
        </level>
      </levels>
      <selections count="1">
        <selection n="[TBL_CUOTAS].[FECHA_CUOTA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CUOTA__año" xr10:uid="{A75F799B-BE2D-4998-9375-ACA7EE8B3BC4}" sourceName="[TBL_CUOTAS].[FECHA_CUOTA (año)]">
  <pivotTables>
    <pivotTable tabId="4" name="Tabla_al_dia"/>
    <pivotTable tabId="4" name="Tabla_cantidad_prestamos"/>
    <pivotTable tabId="4" name="Tabla_ingresos"/>
    <pivotTable tabId="4" name="Tabla_morosos"/>
    <pivotTable tabId="4" name="Tabla_prest_cliente"/>
    <pivotTable tabId="4" name="Tabla_prest_mes"/>
    <pivotTable tabId="4" name="TablaDinámica14"/>
    <pivotTable tabId="4" name="TablaDinámica15"/>
    <pivotTable tabId="4" name="TablaDinámica16"/>
    <pivotTable tabId="6" name="Tabla_esperado"/>
    <pivotTable tabId="6" name="TablaDinámica18"/>
    <pivotTable tabId="6" name="TablaDinámica19"/>
    <pivotTable tabId="6" name="TablaDinámica21"/>
    <pivotTable tabId="6" name="TablaDinámica22"/>
  </pivotTables>
  <data>
    <olap pivotCacheId="1980696982">
      <levels count="2">
        <level uniqueName="[TBL_CUOTAS].[FECHA_CUOTA (año)].[(All)]" sourceCaption="(All)" count="0"/>
        <level uniqueName="[TBL_CUOTAS].[FECHA_CUOTA (año)].[FECHA_CUOTA (año)]" sourceCaption="FECHA_CUOTA (año)" count="2">
          <ranges>
            <range startItem="0">
              <i n="[TBL_CUOTAS].[FECHA_CUOTA (año)].&amp;[2025]" c="2025"/>
              <i n="[TBL_CUOTAS].[FECHA_CUOTA (año)].&amp;[2026]" c="2026"/>
            </range>
          </ranges>
        </level>
      </levels>
      <selections count="1">
        <selection n="[TBL_CUOTAS].[FECHA_CUOTA (año)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MISTA" xr10:uid="{394F6951-ED9F-4534-BE3B-1E91AAD1633E}" sourceName="[TBL_PRESTAMOS].[PRESTAMISTA]">
  <pivotTables>
    <pivotTable tabId="4" name="Tabla_al_dia"/>
    <pivotTable tabId="4" name="Tabla_cantidad_prestamos"/>
    <pivotTable tabId="4" name="Tabla_ingresos"/>
    <pivotTable tabId="4" name="Tabla_morosos"/>
    <pivotTable tabId="4" name="Tabla_prest_cliente"/>
    <pivotTable tabId="4" name="Tabla_prest_mes"/>
    <pivotTable tabId="4" name="TablaDinámica15"/>
    <pivotTable tabId="4" name="TablaDinámica16"/>
    <pivotTable tabId="4" name="TablaDinámica14"/>
    <pivotTable tabId="6" name="Tabla_esperado"/>
    <pivotTable tabId="6" name="TablaDinámica18"/>
    <pivotTable tabId="6" name="TablaDinámica19"/>
    <pivotTable tabId="6" name="TablaDinámica21"/>
    <pivotTable tabId="6" name="TablaDinámica22"/>
  </pivotTables>
  <data>
    <olap pivotCacheId="1980696982">
      <levels count="2">
        <level uniqueName="[TBL_PRESTAMOS].[PRESTAMISTA].[(All)]" sourceCaption="(All)" count="0"/>
        <level uniqueName="[TBL_PRESTAMOS].[PRESTAMISTA].[PRESTAMISTA]" sourceCaption="PRESTAMISTA" count="5">
          <ranges>
            <range startItem="0">
              <i n="[TBL_PRESTAMOS].[PRESTAMISTA].&amp;[PREST-1]" c="PREST-1"/>
              <i n="[TBL_PRESTAMOS].[PRESTAMISTA].&amp;[PREST-2]" c="PREST-2"/>
              <i n="[TBL_PRESTAMOS].[PRESTAMISTA].&amp;[PREST-3]" c="PREST-3"/>
              <i n="[TBL_PRESTAMOS].[PRESTAMISTA].&amp;[PREST-4]" c="PREST-4"/>
              <i n="[TBL_PRESTAMOS].[PRESTAMISTA].&amp;[PREST-5]" c="PREST-5"/>
            </range>
          </ranges>
        </level>
      </levels>
      <selections count="1">
        <selection n="[TBL_PRESTAMOS].[PRESTAMISTA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A96843EA-B25D-4201-A588-25AAA7EF1110}" sourceName="[TBL_PRESTAMOS].[CLIENTE]">
  <pivotTables>
    <pivotTable tabId="4" name="Tabla_cantidad_prestamos"/>
    <pivotTable tabId="4" name="Tabla_ingresos"/>
    <pivotTable tabId="4" name="Tabla_morosos"/>
    <pivotTable tabId="4" name="Tabla_prest_cliente"/>
    <pivotTable tabId="4" name="Tabla_prest_mes"/>
    <pivotTable tabId="4" name="Tabla_al_dia"/>
    <pivotTable tabId="4" name="TablaDinámica15"/>
    <pivotTable tabId="4" name="TablaDinámica16"/>
    <pivotTable tabId="4" name="TablaDinámica14"/>
    <pivotTable tabId="6" name="Tabla_esperado"/>
    <pivotTable tabId="6" name="TablaDinámica18"/>
    <pivotTable tabId="6" name="TablaDinámica19"/>
    <pivotTable tabId="6" name="TablaDinámica21"/>
    <pivotTable tabId="6" name="TablaDinámica22"/>
  </pivotTables>
  <data>
    <olap pivotCacheId="1980696982">
      <levels count="2">
        <level uniqueName="[TBL_PRESTAMOS].[CLIENTE].[(All)]" sourceCaption="(All)" count="0"/>
        <level uniqueName="[TBL_PRESTAMOS].[CLIENTE].[CLIENTE]" sourceCaption="CLIENTE" count="73">
          <ranges>
            <range startItem="0">
              <i n="[TBL_PRESTAMOS].[CLIENTE].&amp;[ANA CORZO]" c="ANA CORZO"/>
              <i n="[TBL_PRESTAMOS].[CLIENTE].&amp;[ANALIA TAPIA]" c="ANALIA TAPIA"/>
              <i n="[TBL_PRESTAMOS].[CLIENTE].&amp;[ANGEL GONZALES]" c="ANGEL GONZALES"/>
              <i n="[TBL_PRESTAMOS].[CLIENTE].&amp;[ARCE GUSTAVO]" c="ARCE GUSTAVO"/>
              <i n="[TBL_PRESTAMOS].[CLIENTE].&amp;[AXEL ARAMBURO]" c="AXEL ARAMBURO"/>
              <i n="[TBL_PRESTAMOS].[CLIENTE].&amp;[AXEL FARIAS]" c="AXEL FARIAS"/>
              <i n="[TBL_PRESTAMOS].[CLIENTE].&amp;[BRENDA MICAELA MOYANO]" c="BRENDA MICAELA MOYANO"/>
              <i n="[TBL_PRESTAMOS].[CLIENTE].&amp;[BRISA ESQUIVEL]" c="BRISA ESQUIVEL"/>
              <i n="[TBL_PRESTAMOS].[CLIENTE].&amp;[CEFERINO EZEQUIEL CASTRO]" c="CEFERINO EZEQUIEL CASTRO"/>
              <i n="[TBL_PRESTAMOS].[CLIENTE].&amp;[CELESTE CORZO]" c="CELESTE CORZO"/>
              <i n="[TBL_PRESTAMOS].[CLIENTE].&amp;[CHRISTOFER ALEX RUBINI]" c="CHRISTOFER ALEX RUBINI"/>
              <i n="[TBL_PRESTAMOS].[CLIENTE].&amp;[CLAUDIO LUDUEÑA]" c="CLAUDIO LUDUEÑA"/>
              <i n="[TBL_PRESTAMOS].[CLIENTE].&amp;[CRISTIAN OLMEDO]" c="CRISTIAN OLMEDO"/>
              <i n="[TBL_PRESTAMOS].[CLIENTE].&amp;[DAMARIS SOLEDAD ARGUELLO]" c="DAMARIS SOLEDAD ARGUELLO"/>
              <i n="[TBL_PRESTAMOS].[CLIENTE].&amp;[DANIELA SUAREZ]" c="DANIELA SUAREZ"/>
              <i n="[TBL_PRESTAMOS].[CLIENTE].&amp;[DIEGO SUAREZ - PELIN]" c="DIEGO SUAREZ - PELIN"/>
              <i n="[TBL_PRESTAMOS].[CLIENTE].&amp;[DILAN MONTAÑA]" c="DILAN MONTAÑA"/>
              <i n="[TBL_PRESTAMOS].[CLIENTE].&amp;[DILAN MONTAÑA - POCHI]" c="DILAN MONTAÑA - POCHI"/>
              <i n="[TBL_PRESTAMOS].[CLIENTE].&amp;[DILAN OMAR ALBARRACIN]" c="DILAN OMAR ALBARRACIN"/>
              <i n="[TBL_PRESTAMOS].[CLIENTE].&amp;[FABRICIO GALLO]" c="FABRICIO GALLO"/>
              <i n="[TBL_PRESTAMOS].[CLIENTE].&amp;[FLORENCIA AGUSTINA BUSTOS]" c="FLORENCIA AGUSTINA BUSTOS"/>
              <i n="[TBL_PRESTAMOS].[CLIENTE].&amp;[FRANCO VARELA]" c="FRANCO VARELA"/>
              <i n="[TBL_PRESTAMOS].[CLIENTE].&amp;[GABRIEL GONZALES]" c="GABRIEL GONZALES"/>
              <i n="[TBL_PRESTAMOS].[CLIENTE].&amp;[GABRIEL TECILLA]" c="GABRIEL TECILLA"/>
              <i n="[TBL_PRESTAMOS].[CLIENTE].&amp;[GABRIELA VERONICA OLMOS]" c="GABRIELA VERONICA OLMOS"/>
              <i n="[TBL_PRESTAMOS].[CLIENTE].&amp;[GISELA ROMERO]" c="GISELA ROMERO"/>
              <i n="[TBL_PRESTAMOS].[CLIENTE].&amp;[GORDO SANTILLAN]" c="GORDO SANTILLAN"/>
              <i n="[TBL_PRESTAMOS].[CLIENTE].&amp;[GUILLERMO MARTINEZ]" c="GUILLERMO MARTINEZ"/>
              <i n="[TBL_PRESTAMOS].[CLIENTE].&amp;[GUSTAVO ZAPATA]" c="GUSTAVO ZAPATA"/>
              <i n="[TBL_PRESTAMOS].[CLIENTE].&amp;[HERNESTO LUJAN]" c="HERNESTO LUJAN"/>
              <i n="[TBL_PRESTAMOS].[CLIENTE].&amp;[JORGE ZAPATA]" c="JORGE ZAPATA"/>
              <i n="[TBL_PRESTAMOS].[CLIENTE].&amp;[LAUTARO GODOY]" c="LAUTARO GODOY"/>
              <i n="[TBL_PRESTAMOS].[CLIENTE].&amp;[LEANDRO BUSTOS]" c="LEANDRO BUSTOS"/>
              <i n="[TBL_PRESTAMOS].[CLIENTE].&amp;[LEANRDO ORELLANO]" c="LEANRDO ORELLANO"/>
              <i n="[TBL_PRESTAMOS].[CLIENTE].&amp;[LEILA SHAKIRA]" c="LEILA SHAKIRA"/>
              <i n="[TBL_PRESTAMOS].[CLIENTE].&amp;[LEONADRO TECILLA - DIAZ TRANSITO P]" c="LEONADRO TECILLA - DIAZ TRANSITO P"/>
              <i n="[TBL_PRESTAMOS].[CLIENTE].&amp;[LEONARDO ANDRADA]" c="LEONARDO ANDRADA"/>
              <i n="[TBL_PRESTAMOS].[CLIENTE].&amp;[LOPEZ CELESTE ESTEFANIA]" c="LOPEZ CELESTE ESTEFANIA"/>
              <i n="[TBL_PRESTAMOS].[CLIENTE].&amp;[LOURDES ARAMBURO]" c="LOURDES ARAMBURO"/>
              <i n="[TBL_PRESTAMOS].[CLIENTE].&amp;[MACARENA ÑAÑEZ]" c="MACARENA ÑAÑEZ"/>
              <i n="[TBL_PRESTAMOS].[CLIENTE].&amp;[MARCELO GODOY]" c="MARCELO GODOY"/>
              <i n="[TBL_PRESTAMOS].[CLIENTE].&amp;[MARIA (FRENTE)]" c="MARIA (FRENTE)"/>
              <i n="[TBL_PRESTAMOS].[CLIENTE].&amp;[MARIA BEATRIZ LEZCANO (COMPAÑERA NATY)]" c="MARIA BEATRIZ LEZCANO (COMPAÑERA NATY)"/>
              <i n="[TBL_PRESTAMOS].[CLIENTE].&amp;[MARIA ELENA TORRES]" c="MARIA ELENA TORRES"/>
              <i n="[TBL_PRESTAMOS].[CLIENTE].&amp;[MIGUEL ALLENDE]" c="MIGUEL ALLENDE"/>
              <i n="[TBL_PRESTAMOS].[CLIENTE].&amp;[MOYA CINTIA ROMINA]" c="MOYA CINTIA ROMINA"/>
              <i n="[TBL_PRESTAMOS].[CLIENTE].&amp;[NADIA TECILLA]" c="NADIA TECILLA"/>
              <i n="[TBL_PRESTAMOS].[CLIENTE].&amp;[NAHIR GOMEZ]" c="NAHIR GOMEZ"/>
              <i n="[TBL_PRESTAMOS].[CLIENTE].&amp;[NATALIA CORREA]" c="NATALIA CORREA"/>
              <i n="[TBL_PRESTAMOS].[CLIENTE].&amp;[NEGRO VEGA]" c="NEGRO VEGA"/>
              <i n="[TBL_PRESTAMOS].[CLIENTE].&amp;[NICO ALBAÑIL]" c="NICO ALBAÑIL"/>
              <i n="[TBL_PRESTAMOS].[CLIENTE].&amp;[NICOLAS TECILLA]" c="NICOLAS TECILLA"/>
              <i n="[TBL_PRESTAMOS].[CLIENTE].&amp;[NOELIA VERONICA PEDERNERA]" c="NOELIA VERONICA PEDERNERA"/>
              <i n="[TBL_PRESTAMOS].[CLIENTE].&amp;[NORMA ESQUIVEL]" c="NORMA ESQUIVEL"/>
              <i n="[TBL_PRESTAMOS].[CLIENTE].&amp;[PAMELA MEDINA]" c="PAMELA MEDINA"/>
              <i n="[TBL_PRESTAMOS].[CLIENTE].&amp;[PATRICIA DIAZ (MAMA YANI)]" c="PATRICIA DIAZ (MAMA YANI)"/>
              <i n="[TBL_PRESTAMOS].[CLIENTE].&amp;[PREST-1]" c="PREST-1"/>
              <i n="[TBL_PRESTAMOS].[CLIENTE].&amp;[PREST-1 - GORRAS]" c="PREST-1 - GORRAS"/>
              <i n="[TBL_PRESTAMOS].[CLIENTE].&amp;[QUINTEROS JAVIERO]" c="QUINTEROS JAVIERO"/>
              <i n="[TBL_PRESTAMOS].[CLIENTE].&amp;[RICARDO ESTEBAN FARIAS]" c="RICARDO ESTEBAN FARIAS"/>
              <i n="[TBL_PRESTAMOS].[CLIENTE].&amp;[RICARDO MONIER]" c="RICARDO MONIER"/>
              <i n="[TBL_PRESTAMOS].[CLIENTE].&amp;[RICARDO OLMEDO- TIO MILI]" c="RICARDO OLMEDO- TIO MILI"/>
              <i n="[TBL_PRESTAMOS].[CLIENTE].&amp;[ROCIO ESQUIBEL]" c="ROCIO ESQUIBEL"/>
              <i n="[TBL_PRESTAMOS].[CLIENTE].&amp;[RODRIGUEZ JUAN]" c="RODRIGUEZ JUAN"/>
              <i n="[TBL_PRESTAMOS].[CLIENTE].&amp;[ROSA CARLOS]" c="ROSA CARLOS"/>
              <i n="[TBL_PRESTAMOS].[CLIENTE].&amp;[TAMARA TAPIA]" c="TAMARA TAPIA"/>
              <i n="[TBL_PRESTAMOS].[CLIENTE].&amp;[TAMARA TECILLA]" c="TAMARA TECILLA"/>
              <i n="[TBL_PRESTAMOS].[CLIENTE].&amp;[TERESA ROSA AVILA]" c="TERESA ROSA AVILA"/>
              <i n="[TBL_PRESTAMOS].[CLIENTE].&amp;[TIZIANA TECILLA]" c="TIZIANA TECILLA"/>
              <i n="[TBL_PRESTAMOS].[CLIENTE].&amp;[VERONICA SOLEDAD GOMEZ]" c="VERONICA SOLEDAD GOMEZ"/>
              <i n="[TBL_PRESTAMOS].[CLIENTE].&amp;[YAMILA MONJES]" c="YAMILA MONJES"/>
              <i n="[TBL_PRESTAMOS].[CLIENTE].&amp;[YANINA FABIANA PERALTA]" c="YANINA FABIANA PERALTA"/>
              <i n="[TBL_PRESTAMOS].[CLIENTE].&amp;[YOLANDA SILVA]" c="YOLANDA SILVA"/>
            </range>
          </ranges>
        </level>
      </levels>
      <selections count="1">
        <selection n="[TBL_PRESTAMOS].[CLIENTE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PRESTAMO__mes" xr10:uid="{652BFD09-E686-4745-A0AD-D10BF6776312}" sourceName="[TBL_PRESTAMOS].[FECHA_PRESTAMO (mes)]">
  <pivotTables>
    <pivotTable tabId="6" name="TablaDinámica22"/>
  </pivotTables>
  <data>
    <olap pivotCacheId="1980696982">
      <levels count="2">
        <level uniqueName="[TBL_PRESTAMOS].[FECHA_PRESTAMO (mes)].[(All)]" sourceCaption="(All)" count="0"/>
        <level uniqueName="[TBL_PRESTAMOS].[FECHA_PRESTAMO (mes)].[FECHA_PRESTAMO (mes)]" sourceCaption="FECHA_PRESTAMO (mes)" count="4">
          <ranges>
            <range startItem="0">
              <i n="[TBL_PRESTAMOS].[FECHA_PRESTAMO (mes)].&amp;[sep]" c="sep"/>
              <i n="[TBL_PRESTAMOS].[FECHA_PRESTAMO (mes)].&amp;[oct]" c="oct"/>
              <i n="[TBL_PRESTAMOS].[FECHA_PRESTAMO (mes)].&amp;[nov]" c="nov"/>
              <i n="[TBL_PRESTAMOS].[FECHA_PRESTAMO (mes)].&amp;[dic]" c="dic"/>
            </range>
          </ranges>
        </level>
      </levels>
      <selections count="1">
        <selection n="[TBL_PRESTAMOS].[FECHA_PRESTAMO (me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- mes" xr10:uid="{D6F5E7DE-7503-488D-9722-A67DF134644F}" cache="SegmentaciónDeDatos_FECHA_CUOTA__mes" caption="Mes" level="1" style="SlicerStyleOther1" rowHeight="241300"/>
  <slicer name="Fecha - año" xr10:uid="{B20C7EBE-7BB7-46F1-ADAD-A0571F3A9350}" cache="SegmentaciónDeDatos_FECHA_CUOTA__año" caption="Año" level="1" style="SlicerStyleOther1" rowHeight="241300"/>
  <slicer name="PRESTAMISTA" xr10:uid="{4D8AA438-4AF2-4E2D-A754-E9C817F8DAA2}" cache="SegmentaciónDeDatos_PRESTAMISTA" caption="PRESTAMISTA" level="1" style="SlicerStyleOther1" rowHeight="241300"/>
  <slicer name="CLIENTE" xr10:uid="{AD240080-8E68-41DF-B9B0-3DA62379CEDA}" cache="SegmentaciónDeDatos_CLIENTE" caption="CLIENTE" level="1" style="SlicerStyleOther1" rowHeight="241300"/>
  <slicer name="Fecha prestamistas" xr10:uid="{FB086F4A-3BEF-472E-BEAF-029952CCBD3F}" cache="SegmentaciónDeDatos_FECHA_PRESTAMO__mes" caption="Mes - prestamistas" level="1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ESTAMOS" displayName="TBL_PRESTAMOS" ref="A1:G80" totalsRowShown="0">
  <autoFilter ref="A1:G80" xr:uid="{00000000-0009-0000-0100-000001000000}"/>
  <tableColumns count="7">
    <tableColumn id="2" xr3:uid="{00000000-0010-0000-0000-000002000000}" name="ID_PRESTAMO" dataDxfId="71"/>
    <tableColumn id="3" xr3:uid="{00000000-0010-0000-0000-000003000000}" name="CLIENTE" dataDxfId="70"/>
    <tableColumn id="4" xr3:uid="{00000000-0010-0000-0000-000004000000}" name="PRESTAMISTA" dataDxfId="69"/>
    <tableColumn id="5" xr3:uid="{00000000-0010-0000-0000-000005000000}" name="FECHA_PRESTAMO" dataDxfId="68" totalsRowDxfId="67"/>
    <tableColumn id="6" xr3:uid="{00000000-0010-0000-0000-000006000000}" name="MONTO_PRESTAMO" dataDxfId="66" totalsRowDxfId="65"/>
    <tableColumn id="7" xr3:uid="{00000000-0010-0000-0000-000007000000}" name="CANT_CUOTAS" dataDxfId="64"/>
    <tableColumn id="8" xr3:uid="{00000000-0010-0000-0000-000008000000}" name="CUOTA_TIPICA" dataDxfId="63" totalsRowDxfId="62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UOTAS" displayName="TBL_CUOTAS" ref="A1:L175">
  <autoFilter ref="A1:L175" xr:uid="{00000000-0009-0000-0100-000002000000}"/>
  <sortState xmlns:xlrd2="http://schemas.microsoft.com/office/spreadsheetml/2017/richdata2" ref="A2:L175">
    <sortCondition ref="A1:A175"/>
  </sortState>
  <tableColumns count="12">
    <tableColumn id="2" xr3:uid="{00000000-0010-0000-0100-000002000000}" name="ID_PRESTAMO" dataDxfId="59"/>
    <tableColumn id="3" xr3:uid="{00000000-0010-0000-0100-000003000000}" name="NRO_CUOTA" dataDxfId="58"/>
    <tableColumn id="4" xr3:uid="{00000000-0010-0000-0100-000004000000}" name="CLIENTE" dataDxfId="57"/>
    <tableColumn id="5" xr3:uid="{00000000-0010-0000-0100-000005000000}" name="PRESTAMISTA" dataDxfId="56"/>
    <tableColumn id="6" xr3:uid="{00000000-0010-0000-0100-000006000000}" name="FECHA_CUOTA" dataDxfId="55"/>
    <tableColumn id="7" xr3:uid="{00000000-0010-0000-0100-000007000000}" name="MONTO_CUOTA" dataDxfId="54" dataCellStyle="Moneda"/>
    <tableColumn id="10" xr3:uid="{00000000-0010-0000-0100-00000A000000}" name="ESTADO"/>
    <tableColumn id="11" xr3:uid="{00000000-0010-0000-0100-00000B000000}" name="MONTO_PAGADO" dataDxfId="53" dataCellStyle="Moneda"/>
    <tableColumn id="1" xr3:uid="{90B1ECE1-289A-4288-8054-C2D590C6206E}" name="INGRESO" dataDxfId="52" dataCellStyle="Moneda">
      <calculatedColumnFormula>IF(G2="Total",TBL_CUOTAS[[#This Row],[MONTO_CUOTA]],IF(G2="Parcial",IF(H2="",0,H2),0))</calculatedColumnFormula>
    </tableColumn>
    <tableColumn id="9" xr3:uid="{3678CB64-8A3B-4C31-812B-E8C56FFFD23B}" name="CUOTA_ATRASADA" dataDxfId="51" dataCellStyle="Moneda">
      <calculatedColumnFormula>AND($G2="Impago",$E2&lt;TODAY())</calculatedColumnFormula>
    </tableColumn>
    <tableColumn id="14" xr3:uid="{62332065-B1D6-40B0-95A4-004627A730F1}" name="CUOTAS_ATRASADAS" dataDxfId="50" dataCellStyle="Moneda">
      <calculatedColumnFormula>IF(TBL_CUOTAS[[#This Row],[CUOTA_ATRASADA]],1,0)</calculatedColumnFormula>
    </tableColumn>
    <tableColumn id="12" xr3:uid="{6837B401-B704-45BF-88AD-457C430683F4}" name="DEUDA_ATRASADA" dataDxfId="49" dataCellStyle="Moneda">
      <calculatedColumnFormula>IF(TBL_CUOTAS[[#This Row],[CUOTA_ATRASADA]],TBL_CUOTAS[[#This Row],[MONTO_CUOTA]]-IF(TBL_CUOTAS[[#This Row],[MONTO_PAGADO]]="",0,TBL_CUOTAS[[#This Row],[MONTO_PAGADO]]),0)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J80"/>
  <sheetViews>
    <sheetView workbookViewId="0">
      <pane ySplit="1" topLeftCell="A32" activePane="bottomLeft" state="frozen"/>
      <selection pane="bottomLeft" activeCell="J12" sqref="J12"/>
    </sheetView>
  </sheetViews>
  <sheetFormatPr baseColWidth="10" defaultColWidth="9.140625" defaultRowHeight="15" x14ac:dyDescent="0.25"/>
  <cols>
    <col min="1" max="1" width="20.28515625" style="9" customWidth="1"/>
    <col min="2" max="2" width="28.85546875" style="8" customWidth="1"/>
    <col min="3" max="3" width="20.5703125" style="8" bestFit="1" customWidth="1"/>
    <col min="4" max="4" width="20" style="4" bestFit="1" customWidth="1"/>
    <col min="5" max="5" width="21.42578125" style="3" bestFit="1" customWidth="1"/>
    <col min="6" max="6" width="22.42578125" style="6" customWidth="1"/>
    <col min="7" max="7" width="16.28515625" style="7" bestFit="1" customWidth="1"/>
    <col min="9" max="9" width="20.5703125" style="8" bestFit="1" customWidth="1"/>
    <col min="11" max="11" width="16" customWidth="1"/>
  </cols>
  <sheetData>
    <row r="1" spans="1:10" x14ac:dyDescent="0.25">
      <c r="A1" s="9" t="s">
        <v>0</v>
      </c>
      <c r="B1" s="8" t="s">
        <v>107</v>
      </c>
      <c r="C1" s="8" t="s">
        <v>1</v>
      </c>
      <c r="D1" s="4" t="s">
        <v>2</v>
      </c>
      <c r="E1" s="3" t="s">
        <v>3</v>
      </c>
      <c r="F1" s="6" t="s">
        <v>108</v>
      </c>
      <c r="G1" s="7" t="s">
        <v>4</v>
      </c>
      <c r="I1" s="8" t="s">
        <v>1</v>
      </c>
    </row>
    <row r="2" spans="1:10" x14ac:dyDescent="0.25">
      <c r="A2" s="9">
        <v>173</v>
      </c>
      <c r="B2" s="8" t="s">
        <v>75</v>
      </c>
      <c r="C2" s="8" t="s">
        <v>126</v>
      </c>
      <c r="D2" s="4">
        <v>46000</v>
      </c>
      <c r="E2" s="3">
        <v>300000</v>
      </c>
      <c r="F2" s="6">
        <v>1</v>
      </c>
      <c r="G2" s="7">
        <v>360000</v>
      </c>
      <c r="I2" s="8" t="s">
        <v>126</v>
      </c>
      <c r="J2" t="s">
        <v>126</v>
      </c>
    </row>
    <row r="3" spans="1:10" x14ac:dyDescent="0.25">
      <c r="A3" s="9">
        <v>126</v>
      </c>
      <c r="B3" s="8" t="s">
        <v>37</v>
      </c>
      <c r="C3" s="8" t="s">
        <v>126</v>
      </c>
      <c r="D3" s="4">
        <v>45979</v>
      </c>
      <c r="E3" s="3">
        <v>300000</v>
      </c>
      <c r="F3" s="6">
        <v>2</v>
      </c>
      <c r="G3" s="7">
        <v>210000</v>
      </c>
      <c r="I3" s="8" t="s">
        <v>127</v>
      </c>
      <c r="J3" t="s">
        <v>127</v>
      </c>
    </row>
    <row r="4" spans="1:10" x14ac:dyDescent="0.25">
      <c r="A4" s="9">
        <v>169</v>
      </c>
      <c r="B4" s="8" t="s">
        <v>72</v>
      </c>
      <c r="C4" s="8" t="s">
        <v>126</v>
      </c>
      <c r="D4" s="4">
        <v>45997</v>
      </c>
      <c r="E4" s="3">
        <v>200000</v>
      </c>
      <c r="F4" s="6">
        <v>4</v>
      </c>
      <c r="G4" s="7">
        <v>57500</v>
      </c>
      <c r="I4" s="8" t="s">
        <v>128</v>
      </c>
      <c r="J4" t="s">
        <v>128</v>
      </c>
    </row>
    <row r="5" spans="1:10" x14ac:dyDescent="0.25">
      <c r="A5" s="9">
        <v>128</v>
      </c>
      <c r="B5" s="8" t="s">
        <v>38</v>
      </c>
      <c r="C5" s="8" t="s">
        <v>127</v>
      </c>
      <c r="D5" s="4">
        <v>45981</v>
      </c>
      <c r="E5" s="3">
        <v>300000</v>
      </c>
      <c r="F5" s="6">
        <v>1</v>
      </c>
      <c r="G5" s="7">
        <v>360000</v>
      </c>
      <c r="I5" s="8" t="s">
        <v>129</v>
      </c>
      <c r="J5" t="s">
        <v>129</v>
      </c>
    </row>
    <row r="6" spans="1:10" x14ac:dyDescent="0.25">
      <c r="A6" s="9">
        <v>171</v>
      </c>
      <c r="B6" s="8" t="s">
        <v>74</v>
      </c>
      <c r="C6" s="8" t="s">
        <v>126</v>
      </c>
      <c r="D6" s="4">
        <v>45997</v>
      </c>
      <c r="E6" s="3">
        <v>100000</v>
      </c>
      <c r="F6" s="6">
        <v>4</v>
      </c>
      <c r="G6" s="7">
        <v>28500</v>
      </c>
      <c r="I6" s="8" t="s">
        <v>130</v>
      </c>
      <c r="J6" t="s">
        <v>130</v>
      </c>
    </row>
    <row r="7" spans="1:10" x14ac:dyDescent="0.25">
      <c r="A7" s="9">
        <v>164</v>
      </c>
      <c r="B7" s="8" t="s">
        <v>68</v>
      </c>
      <c r="C7" s="8" t="s">
        <v>126</v>
      </c>
      <c r="D7" s="4">
        <v>45996</v>
      </c>
      <c r="E7" s="3">
        <v>100000</v>
      </c>
      <c r="F7" s="6">
        <v>2</v>
      </c>
      <c r="G7" s="7">
        <v>70000</v>
      </c>
      <c r="I7"/>
    </row>
    <row r="8" spans="1:10" x14ac:dyDescent="0.25">
      <c r="A8" s="9">
        <v>107</v>
      </c>
      <c r="B8" s="8" t="s">
        <v>22</v>
      </c>
      <c r="C8" s="8" t="s">
        <v>126</v>
      </c>
      <c r="D8" s="4">
        <v>45971</v>
      </c>
      <c r="E8" s="3">
        <v>100000</v>
      </c>
      <c r="F8" s="6">
        <v>4</v>
      </c>
      <c r="G8" s="7">
        <v>28750</v>
      </c>
      <c r="I8"/>
    </row>
    <row r="9" spans="1:10" x14ac:dyDescent="0.25">
      <c r="A9" s="9">
        <v>150</v>
      </c>
      <c r="B9" s="8" t="s">
        <v>57</v>
      </c>
      <c r="C9" s="8" t="s">
        <v>126</v>
      </c>
      <c r="D9" s="4">
        <v>45992</v>
      </c>
      <c r="E9" s="3">
        <v>270000</v>
      </c>
      <c r="F9" s="6">
        <v>1</v>
      </c>
      <c r="G9" s="7">
        <v>283500</v>
      </c>
      <c r="I9"/>
    </row>
    <row r="10" spans="1:10" x14ac:dyDescent="0.25">
      <c r="A10" s="9">
        <v>108</v>
      </c>
      <c r="B10" s="8" t="s">
        <v>23</v>
      </c>
      <c r="C10" s="8" t="s">
        <v>126</v>
      </c>
      <c r="D10" s="4">
        <v>45971</v>
      </c>
      <c r="E10" s="3">
        <v>100000</v>
      </c>
      <c r="F10" s="6">
        <v>4</v>
      </c>
      <c r="G10" s="7">
        <v>28750</v>
      </c>
      <c r="I10"/>
    </row>
    <row r="11" spans="1:10" x14ac:dyDescent="0.25">
      <c r="A11" s="9">
        <v>143</v>
      </c>
      <c r="B11" s="8" t="s">
        <v>51</v>
      </c>
      <c r="C11" s="8" t="s">
        <v>126</v>
      </c>
      <c r="D11" s="4">
        <v>45989</v>
      </c>
      <c r="E11" s="3">
        <v>100000</v>
      </c>
      <c r="F11" s="6">
        <v>1</v>
      </c>
      <c r="G11" s="7">
        <v>120000</v>
      </c>
      <c r="I11"/>
    </row>
    <row r="12" spans="1:10" x14ac:dyDescent="0.25">
      <c r="A12" s="9">
        <v>121</v>
      </c>
      <c r="B12" s="8" t="s">
        <v>33</v>
      </c>
      <c r="C12" s="8" t="s">
        <v>126</v>
      </c>
      <c r="D12" s="4">
        <v>45974</v>
      </c>
      <c r="E12" s="3">
        <v>100000</v>
      </c>
      <c r="F12" s="6">
        <v>5</v>
      </c>
      <c r="G12" s="7">
        <v>28750</v>
      </c>
      <c r="I12"/>
    </row>
    <row r="13" spans="1:10" x14ac:dyDescent="0.25">
      <c r="A13" s="9">
        <v>112</v>
      </c>
      <c r="B13" s="8" t="s">
        <v>26</v>
      </c>
      <c r="C13" s="8" t="s">
        <v>126</v>
      </c>
      <c r="D13" s="4">
        <v>45973</v>
      </c>
      <c r="E13" s="3">
        <v>500000</v>
      </c>
      <c r="F13" s="6">
        <v>4</v>
      </c>
      <c r="G13" s="7">
        <v>143750</v>
      </c>
      <c r="I13"/>
    </row>
    <row r="14" spans="1:10" x14ac:dyDescent="0.25">
      <c r="A14" s="9">
        <v>156</v>
      </c>
      <c r="B14" s="8" t="s">
        <v>62</v>
      </c>
      <c r="C14" s="8" t="s">
        <v>126</v>
      </c>
      <c r="D14" s="4">
        <v>45992</v>
      </c>
      <c r="E14" s="3">
        <v>50000</v>
      </c>
      <c r="F14" s="6">
        <v>1</v>
      </c>
      <c r="G14" s="7">
        <v>60000</v>
      </c>
      <c r="I14"/>
    </row>
    <row r="15" spans="1:10" x14ac:dyDescent="0.25">
      <c r="A15" s="9">
        <v>100</v>
      </c>
      <c r="B15" s="8" t="s">
        <v>18</v>
      </c>
      <c r="C15" s="8" t="s">
        <v>126</v>
      </c>
      <c r="D15" s="4">
        <v>45970</v>
      </c>
      <c r="E15" s="3">
        <v>100000</v>
      </c>
      <c r="F15" s="6">
        <v>1</v>
      </c>
      <c r="G15" s="7">
        <v>120000</v>
      </c>
      <c r="I15"/>
    </row>
    <row r="16" spans="1:10" x14ac:dyDescent="0.25">
      <c r="A16" s="9">
        <v>51</v>
      </c>
      <c r="B16" s="8" t="s">
        <v>7</v>
      </c>
      <c r="C16" s="8" t="s">
        <v>126</v>
      </c>
      <c r="D16" s="4">
        <v>45965</v>
      </c>
      <c r="E16" s="3">
        <v>150000</v>
      </c>
      <c r="F16" s="6">
        <v>1</v>
      </c>
      <c r="G16" s="7">
        <v>180000</v>
      </c>
      <c r="I16"/>
    </row>
    <row r="17" spans="1:9" x14ac:dyDescent="0.25">
      <c r="A17" s="9">
        <v>122</v>
      </c>
      <c r="B17" s="8" t="s">
        <v>34</v>
      </c>
      <c r="C17" s="8" t="s">
        <v>126</v>
      </c>
      <c r="D17" s="4">
        <v>45978</v>
      </c>
      <c r="E17" s="3">
        <v>100000</v>
      </c>
      <c r="F17" s="6">
        <v>1</v>
      </c>
      <c r="G17" s="7">
        <v>120000</v>
      </c>
      <c r="I17"/>
    </row>
    <row r="18" spans="1:9" x14ac:dyDescent="0.25">
      <c r="A18" s="9">
        <v>142</v>
      </c>
      <c r="B18" s="8" t="s">
        <v>50</v>
      </c>
      <c r="C18" s="8" t="s">
        <v>126</v>
      </c>
      <c r="D18" s="4">
        <v>45989</v>
      </c>
      <c r="E18" s="3">
        <v>100000</v>
      </c>
      <c r="F18" s="6">
        <v>1</v>
      </c>
      <c r="G18" s="7">
        <v>120000</v>
      </c>
      <c r="I18"/>
    </row>
    <row r="19" spans="1:9" x14ac:dyDescent="0.25">
      <c r="A19" s="9">
        <v>55</v>
      </c>
      <c r="B19" s="8" t="s">
        <v>8</v>
      </c>
      <c r="C19" s="8" t="s">
        <v>126</v>
      </c>
      <c r="D19" s="4">
        <v>45995</v>
      </c>
      <c r="E19" s="3">
        <v>100000</v>
      </c>
      <c r="F19" s="6">
        <v>1</v>
      </c>
      <c r="G19" s="7">
        <v>120000</v>
      </c>
      <c r="I19"/>
    </row>
    <row r="20" spans="1:9" x14ac:dyDescent="0.25">
      <c r="A20" s="9">
        <v>159</v>
      </c>
      <c r="B20" s="8" t="s">
        <v>64</v>
      </c>
      <c r="C20" s="8" t="s">
        <v>126</v>
      </c>
      <c r="D20" s="4">
        <v>45994</v>
      </c>
      <c r="E20" s="3">
        <v>300000</v>
      </c>
      <c r="F20" s="6">
        <v>4</v>
      </c>
      <c r="G20" s="7">
        <v>86250</v>
      </c>
      <c r="I20"/>
    </row>
    <row r="21" spans="1:9" x14ac:dyDescent="0.25">
      <c r="A21" s="9">
        <v>90</v>
      </c>
      <c r="B21" s="8" t="s">
        <v>14</v>
      </c>
      <c r="C21" s="8" t="s">
        <v>126</v>
      </c>
      <c r="D21" s="4">
        <v>45958</v>
      </c>
      <c r="E21" s="3">
        <v>150000</v>
      </c>
      <c r="F21" s="6">
        <v>1</v>
      </c>
      <c r="G21" s="7">
        <v>195000</v>
      </c>
      <c r="I21"/>
    </row>
    <row r="22" spans="1:9" x14ac:dyDescent="0.25">
      <c r="A22" s="9">
        <v>155</v>
      </c>
      <c r="B22" s="8" t="s">
        <v>61</v>
      </c>
      <c r="C22" s="8" t="s">
        <v>126</v>
      </c>
      <c r="D22" s="4">
        <v>45992</v>
      </c>
      <c r="E22" s="3">
        <v>170000</v>
      </c>
      <c r="F22" s="6">
        <v>1</v>
      </c>
      <c r="G22" s="7">
        <v>204000</v>
      </c>
      <c r="I22"/>
    </row>
    <row r="23" spans="1:9" x14ac:dyDescent="0.25">
      <c r="A23" s="9">
        <v>46</v>
      </c>
      <c r="B23" s="8" t="s">
        <v>5</v>
      </c>
      <c r="C23" s="8" t="s">
        <v>127</v>
      </c>
      <c r="D23" s="4">
        <v>45916</v>
      </c>
      <c r="E23" s="3">
        <v>1000000</v>
      </c>
      <c r="F23" s="6">
        <v>5</v>
      </c>
      <c r="G23" s="7">
        <v>292857</v>
      </c>
      <c r="I23"/>
    </row>
    <row r="24" spans="1:9" x14ac:dyDescent="0.25">
      <c r="A24" s="9">
        <v>163</v>
      </c>
      <c r="B24" s="8" t="s">
        <v>67</v>
      </c>
      <c r="C24" s="8" t="s">
        <v>127</v>
      </c>
      <c r="D24" s="4">
        <v>45999</v>
      </c>
      <c r="E24" s="3">
        <v>40000</v>
      </c>
      <c r="F24" s="6">
        <v>1</v>
      </c>
      <c r="G24" s="7">
        <v>40000</v>
      </c>
      <c r="I24"/>
    </row>
    <row r="25" spans="1:9" x14ac:dyDescent="0.25">
      <c r="A25" s="9">
        <v>58</v>
      </c>
      <c r="B25" s="8" t="s">
        <v>10</v>
      </c>
      <c r="C25" s="8" t="s">
        <v>126</v>
      </c>
      <c r="D25" s="4">
        <v>45932</v>
      </c>
      <c r="E25" s="3">
        <v>1000000</v>
      </c>
      <c r="F25" s="6">
        <v>8</v>
      </c>
      <c r="G25" s="7">
        <v>192500</v>
      </c>
      <c r="I25"/>
    </row>
    <row r="26" spans="1:9" x14ac:dyDescent="0.25">
      <c r="A26" s="9">
        <v>81</v>
      </c>
      <c r="B26" s="8" t="s">
        <v>13</v>
      </c>
      <c r="C26" s="8" t="s">
        <v>128</v>
      </c>
      <c r="D26" s="4">
        <v>45953</v>
      </c>
      <c r="E26" s="3">
        <v>300000</v>
      </c>
      <c r="F26" s="6">
        <v>1</v>
      </c>
      <c r="G26" s="7">
        <v>420000</v>
      </c>
      <c r="I26"/>
    </row>
    <row r="27" spans="1:9" x14ac:dyDescent="0.25">
      <c r="A27" s="9">
        <v>129</v>
      </c>
      <c r="B27" s="8" t="s">
        <v>13</v>
      </c>
      <c r="C27" s="8" t="s">
        <v>128</v>
      </c>
      <c r="D27" s="4">
        <v>45982</v>
      </c>
      <c r="E27" s="3">
        <v>350000</v>
      </c>
      <c r="F27" s="6">
        <v>1</v>
      </c>
      <c r="G27" s="7">
        <v>490000</v>
      </c>
      <c r="I27"/>
    </row>
    <row r="28" spans="1:9" x14ac:dyDescent="0.25">
      <c r="A28" s="9">
        <v>117</v>
      </c>
      <c r="B28" s="8" t="s">
        <v>29</v>
      </c>
      <c r="C28" s="8" t="s">
        <v>126</v>
      </c>
      <c r="D28" s="4">
        <v>45974</v>
      </c>
      <c r="E28" s="3">
        <v>100000</v>
      </c>
      <c r="F28" s="6">
        <v>1</v>
      </c>
      <c r="G28" s="7">
        <v>120000</v>
      </c>
      <c r="I28"/>
    </row>
    <row r="29" spans="1:9" x14ac:dyDescent="0.25">
      <c r="A29" s="9">
        <v>96</v>
      </c>
      <c r="B29" s="8" t="s">
        <v>16</v>
      </c>
      <c r="C29" s="8" t="s">
        <v>126</v>
      </c>
      <c r="D29" s="4">
        <v>45965</v>
      </c>
      <c r="E29" s="3">
        <v>100000</v>
      </c>
      <c r="F29" s="6">
        <v>4</v>
      </c>
      <c r="G29" s="7">
        <v>28750</v>
      </c>
      <c r="I29"/>
    </row>
    <row r="30" spans="1:9" x14ac:dyDescent="0.25">
      <c r="A30" s="9">
        <v>103</v>
      </c>
      <c r="B30" s="8" t="s">
        <v>20</v>
      </c>
      <c r="C30" s="8" t="s">
        <v>126</v>
      </c>
      <c r="D30" s="4">
        <v>45969</v>
      </c>
      <c r="E30" s="3">
        <v>100000</v>
      </c>
      <c r="F30" s="6">
        <v>1</v>
      </c>
      <c r="G30" s="7">
        <v>120000</v>
      </c>
      <c r="I30"/>
    </row>
    <row r="31" spans="1:9" x14ac:dyDescent="0.25">
      <c r="A31" s="9">
        <v>153</v>
      </c>
      <c r="B31" s="8" t="s">
        <v>20</v>
      </c>
      <c r="C31" s="8" t="s">
        <v>126</v>
      </c>
      <c r="D31" s="4">
        <v>45992</v>
      </c>
      <c r="E31" s="3">
        <v>100000</v>
      </c>
      <c r="F31" s="6">
        <v>1</v>
      </c>
      <c r="G31" s="7">
        <v>120000</v>
      </c>
      <c r="I31"/>
    </row>
    <row r="32" spans="1:9" x14ac:dyDescent="0.25">
      <c r="A32" s="9">
        <v>145</v>
      </c>
      <c r="B32" s="8" t="s">
        <v>53</v>
      </c>
      <c r="C32" s="8" t="s">
        <v>126</v>
      </c>
      <c r="D32" s="4">
        <v>45989</v>
      </c>
      <c r="E32" s="3">
        <v>150000</v>
      </c>
      <c r="F32" s="6">
        <v>4</v>
      </c>
      <c r="G32" s="7">
        <v>43125</v>
      </c>
      <c r="I32"/>
    </row>
    <row r="33" spans="1:9" x14ac:dyDescent="0.25">
      <c r="A33" s="9">
        <v>133</v>
      </c>
      <c r="B33" s="8" t="s">
        <v>42</v>
      </c>
      <c r="C33" s="8" t="s">
        <v>126</v>
      </c>
      <c r="D33" s="4">
        <v>45981</v>
      </c>
      <c r="E33" s="3">
        <v>100000</v>
      </c>
      <c r="F33" s="6">
        <v>4</v>
      </c>
      <c r="G33" s="7">
        <v>28750</v>
      </c>
      <c r="I33"/>
    </row>
    <row r="34" spans="1:9" x14ac:dyDescent="0.25">
      <c r="A34" s="9">
        <v>168</v>
      </c>
      <c r="B34" s="8" t="s">
        <v>71</v>
      </c>
      <c r="C34" s="8" t="s">
        <v>126</v>
      </c>
      <c r="D34" s="4">
        <v>45997</v>
      </c>
      <c r="E34" s="3">
        <v>100000</v>
      </c>
      <c r="F34" s="6">
        <v>4</v>
      </c>
      <c r="G34" s="7">
        <v>28750</v>
      </c>
      <c r="I34"/>
    </row>
    <row r="35" spans="1:9" x14ac:dyDescent="0.25">
      <c r="A35" s="9">
        <v>135</v>
      </c>
      <c r="B35" s="8" t="s">
        <v>44</v>
      </c>
      <c r="C35" s="8" t="s">
        <v>126</v>
      </c>
      <c r="D35" s="4">
        <v>45981</v>
      </c>
      <c r="E35" s="3">
        <v>200000</v>
      </c>
      <c r="F35" s="6">
        <v>4</v>
      </c>
      <c r="G35" s="7">
        <v>57500</v>
      </c>
      <c r="I35"/>
    </row>
    <row r="36" spans="1:9" x14ac:dyDescent="0.25">
      <c r="A36" s="9">
        <v>130</v>
      </c>
      <c r="B36" s="8" t="s">
        <v>39</v>
      </c>
      <c r="C36" s="8" t="s">
        <v>126</v>
      </c>
      <c r="D36" s="4">
        <v>45981</v>
      </c>
      <c r="E36" s="3">
        <v>200000</v>
      </c>
      <c r="F36" s="6">
        <v>1</v>
      </c>
      <c r="G36" s="7">
        <v>240000</v>
      </c>
      <c r="I36"/>
    </row>
    <row r="37" spans="1:9" x14ac:dyDescent="0.25">
      <c r="A37" s="9">
        <v>120</v>
      </c>
      <c r="B37" s="8" t="s">
        <v>32</v>
      </c>
      <c r="C37" s="8" t="s">
        <v>126</v>
      </c>
      <c r="D37" s="4">
        <v>45974</v>
      </c>
      <c r="E37" s="3">
        <v>100000</v>
      </c>
      <c r="F37" s="6">
        <v>2</v>
      </c>
      <c r="G37" s="7">
        <v>53750</v>
      </c>
      <c r="I37"/>
    </row>
    <row r="38" spans="1:9" x14ac:dyDescent="0.25">
      <c r="A38" s="9">
        <v>119</v>
      </c>
      <c r="B38" s="8" t="s">
        <v>31</v>
      </c>
      <c r="C38" s="8" t="s">
        <v>126</v>
      </c>
      <c r="D38" s="4">
        <v>45977</v>
      </c>
      <c r="E38" s="3">
        <v>200000</v>
      </c>
      <c r="F38" s="6">
        <v>4</v>
      </c>
      <c r="G38" s="7">
        <v>57500</v>
      </c>
      <c r="I38"/>
    </row>
    <row r="39" spans="1:9" x14ac:dyDescent="0.25">
      <c r="A39" s="9">
        <v>146</v>
      </c>
      <c r="B39" s="8" t="s">
        <v>54</v>
      </c>
      <c r="C39" s="8" t="s">
        <v>126</v>
      </c>
      <c r="D39" s="4">
        <v>45989</v>
      </c>
      <c r="E39" s="3">
        <v>200000</v>
      </c>
      <c r="F39" s="6">
        <v>4</v>
      </c>
      <c r="G39" s="7">
        <v>57500</v>
      </c>
      <c r="I39"/>
    </row>
    <row r="40" spans="1:9" x14ac:dyDescent="0.25">
      <c r="A40" s="9">
        <v>97</v>
      </c>
      <c r="B40" s="8" t="s">
        <v>17</v>
      </c>
      <c r="C40" s="8" t="s">
        <v>126</v>
      </c>
      <c r="D40" s="4">
        <v>45967</v>
      </c>
      <c r="E40" s="3">
        <v>100000</v>
      </c>
      <c r="F40" s="6">
        <v>1</v>
      </c>
      <c r="G40" s="7">
        <v>120000</v>
      </c>
      <c r="I40"/>
    </row>
    <row r="41" spans="1:9" x14ac:dyDescent="0.25">
      <c r="A41" s="9">
        <v>151</v>
      </c>
      <c r="B41" s="8" t="s">
        <v>58</v>
      </c>
      <c r="C41" s="8" t="s">
        <v>126</v>
      </c>
      <c r="D41" s="4">
        <v>45992</v>
      </c>
      <c r="E41" s="3">
        <v>50000</v>
      </c>
      <c r="F41" s="6">
        <v>1</v>
      </c>
      <c r="G41" s="7">
        <v>60000</v>
      </c>
      <c r="I41"/>
    </row>
    <row r="42" spans="1:9" x14ac:dyDescent="0.25">
      <c r="A42" s="9">
        <v>138</v>
      </c>
      <c r="B42" s="8" t="s">
        <v>46</v>
      </c>
      <c r="C42" s="8" t="s">
        <v>126</v>
      </c>
      <c r="D42" s="4">
        <v>45984</v>
      </c>
      <c r="E42" s="3">
        <v>100000</v>
      </c>
      <c r="F42" s="6">
        <v>1</v>
      </c>
      <c r="G42" s="7">
        <v>120000</v>
      </c>
      <c r="I42"/>
    </row>
    <row r="43" spans="1:9" x14ac:dyDescent="0.25">
      <c r="A43" s="9">
        <v>73</v>
      </c>
      <c r="B43" s="8" t="s">
        <v>12</v>
      </c>
      <c r="C43" s="8" t="s">
        <v>127</v>
      </c>
      <c r="D43" s="4">
        <v>45977</v>
      </c>
      <c r="E43" s="3">
        <v>300000</v>
      </c>
      <c r="F43" s="6">
        <v>1</v>
      </c>
      <c r="G43" s="7">
        <v>360000</v>
      </c>
      <c r="I43"/>
    </row>
    <row r="44" spans="1:9" x14ac:dyDescent="0.25">
      <c r="A44" s="9">
        <v>132</v>
      </c>
      <c r="B44" s="8" t="s">
        <v>41</v>
      </c>
      <c r="C44" s="8" t="s">
        <v>126</v>
      </c>
      <c r="D44" s="4">
        <v>45981</v>
      </c>
      <c r="E44" s="3">
        <v>300000</v>
      </c>
      <c r="F44" s="6">
        <v>4</v>
      </c>
      <c r="G44" s="7">
        <v>86250</v>
      </c>
      <c r="I44"/>
    </row>
    <row r="45" spans="1:9" x14ac:dyDescent="0.25">
      <c r="A45" s="9">
        <v>152</v>
      </c>
      <c r="B45" s="8" t="s">
        <v>59</v>
      </c>
      <c r="C45" s="8" t="s">
        <v>126</v>
      </c>
      <c r="D45" s="4">
        <v>45992</v>
      </c>
      <c r="E45" s="3">
        <v>70000</v>
      </c>
      <c r="F45" s="6">
        <v>1</v>
      </c>
      <c r="G45" s="7">
        <v>-84000</v>
      </c>
      <c r="I45"/>
    </row>
    <row r="46" spans="1:9" x14ac:dyDescent="0.25">
      <c r="A46" s="9">
        <v>165</v>
      </c>
      <c r="B46" s="8" t="s">
        <v>69</v>
      </c>
      <c r="C46" s="8" t="s">
        <v>126</v>
      </c>
      <c r="D46" s="4">
        <v>45997</v>
      </c>
      <c r="E46" s="3">
        <v>300000</v>
      </c>
      <c r="F46" s="6">
        <v>2</v>
      </c>
      <c r="G46" s="7">
        <v>210000</v>
      </c>
      <c r="I46"/>
    </row>
    <row r="47" spans="1:9" x14ac:dyDescent="0.25">
      <c r="A47" s="9">
        <v>93</v>
      </c>
      <c r="B47" s="8" t="s">
        <v>15</v>
      </c>
      <c r="C47" s="8" t="s">
        <v>126</v>
      </c>
      <c r="D47" s="4">
        <v>45965</v>
      </c>
      <c r="E47" s="3">
        <v>150000</v>
      </c>
      <c r="F47" s="6">
        <v>1</v>
      </c>
      <c r="G47" s="7">
        <v>180000</v>
      </c>
      <c r="I47"/>
    </row>
    <row r="48" spans="1:9" x14ac:dyDescent="0.25">
      <c r="A48" s="9">
        <v>147</v>
      </c>
      <c r="B48" s="8" t="s">
        <v>55</v>
      </c>
      <c r="C48" s="8" t="s">
        <v>129</v>
      </c>
      <c r="D48" s="4">
        <v>45989</v>
      </c>
      <c r="E48" s="3">
        <v>250000</v>
      </c>
      <c r="F48" s="6">
        <v>1</v>
      </c>
      <c r="G48" s="7">
        <v>300000</v>
      </c>
      <c r="I48"/>
    </row>
    <row r="49" spans="1:9" x14ac:dyDescent="0.25">
      <c r="A49" s="9">
        <v>157</v>
      </c>
      <c r="B49" s="8" t="s">
        <v>63</v>
      </c>
      <c r="C49" s="8" t="s">
        <v>128</v>
      </c>
      <c r="D49" s="4">
        <v>45994</v>
      </c>
      <c r="E49" s="3">
        <v>100000</v>
      </c>
      <c r="F49" s="6">
        <v>1</v>
      </c>
      <c r="G49" s="7">
        <v>120000</v>
      </c>
      <c r="I49"/>
    </row>
    <row r="50" spans="1:9" x14ac:dyDescent="0.25">
      <c r="A50" s="9">
        <v>160</v>
      </c>
      <c r="B50" s="8" t="s">
        <v>63</v>
      </c>
      <c r="C50" s="8" t="s">
        <v>128</v>
      </c>
      <c r="D50" s="4">
        <v>45997</v>
      </c>
      <c r="E50" s="3">
        <v>50000</v>
      </c>
      <c r="F50" s="6">
        <v>1</v>
      </c>
      <c r="G50" s="7">
        <v>52500</v>
      </c>
      <c r="I50"/>
    </row>
    <row r="51" spans="1:9" x14ac:dyDescent="0.25">
      <c r="A51" s="9">
        <v>154</v>
      </c>
      <c r="B51" s="8" t="s">
        <v>60</v>
      </c>
      <c r="C51" s="8" t="s">
        <v>126</v>
      </c>
      <c r="D51" s="4">
        <v>45993</v>
      </c>
      <c r="E51" s="3">
        <v>100000</v>
      </c>
      <c r="F51" s="6">
        <v>4</v>
      </c>
      <c r="G51" s="7">
        <v>28750</v>
      </c>
      <c r="I51"/>
    </row>
    <row r="52" spans="1:9" x14ac:dyDescent="0.25">
      <c r="A52" s="9">
        <v>136</v>
      </c>
      <c r="B52" s="8" t="s">
        <v>45</v>
      </c>
      <c r="C52" s="8" t="s">
        <v>126</v>
      </c>
      <c r="D52" s="4">
        <v>45984</v>
      </c>
      <c r="E52" s="3">
        <v>100000</v>
      </c>
      <c r="F52" s="6">
        <v>1</v>
      </c>
      <c r="G52" s="7">
        <v>120000</v>
      </c>
      <c r="I52"/>
    </row>
    <row r="53" spans="1:9" x14ac:dyDescent="0.25">
      <c r="A53" s="9">
        <v>105</v>
      </c>
      <c r="B53" s="8" t="s">
        <v>21</v>
      </c>
      <c r="C53" s="8" t="s">
        <v>126</v>
      </c>
      <c r="D53" s="4">
        <v>45971</v>
      </c>
      <c r="E53" s="3">
        <v>150000</v>
      </c>
      <c r="F53" s="6">
        <v>1</v>
      </c>
      <c r="G53" s="7">
        <v>180000</v>
      </c>
      <c r="I53"/>
    </row>
    <row r="54" spans="1:9" x14ac:dyDescent="0.25">
      <c r="A54" s="9">
        <v>158</v>
      </c>
      <c r="B54" s="8" t="s">
        <v>21</v>
      </c>
      <c r="C54" s="8" t="s">
        <v>126</v>
      </c>
      <c r="D54" s="4">
        <v>45994</v>
      </c>
      <c r="E54" s="3">
        <v>500000</v>
      </c>
      <c r="F54" s="6">
        <v>2</v>
      </c>
      <c r="G54" s="7">
        <v>350000</v>
      </c>
      <c r="I54"/>
    </row>
    <row r="55" spans="1:9" x14ac:dyDescent="0.25">
      <c r="A55" s="9">
        <v>118</v>
      </c>
      <c r="B55" s="8" t="s">
        <v>30</v>
      </c>
      <c r="C55" s="8" t="s">
        <v>127</v>
      </c>
      <c r="D55" s="4">
        <v>45977</v>
      </c>
      <c r="E55" s="3">
        <v>200000</v>
      </c>
      <c r="F55" s="6">
        <v>1</v>
      </c>
      <c r="G55" s="7">
        <v>230000</v>
      </c>
      <c r="I55"/>
    </row>
    <row r="56" spans="1:9" x14ac:dyDescent="0.25">
      <c r="A56" s="9">
        <v>162</v>
      </c>
      <c r="B56" s="8" t="s">
        <v>66</v>
      </c>
      <c r="C56" s="8" t="s">
        <v>130</v>
      </c>
      <c r="D56" s="4">
        <v>45996</v>
      </c>
      <c r="E56" s="3">
        <v>300000</v>
      </c>
      <c r="F56" s="6">
        <v>4</v>
      </c>
      <c r="G56" s="7">
        <v>90000</v>
      </c>
      <c r="I56"/>
    </row>
    <row r="57" spans="1:9" x14ac:dyDescent="0.25">
      <c r="A57" s="9">
        <v>50</v>
      </c>
      <c r="B57" s="8" t="s">
        <v>6</v>
      </c>
      <c r="C57" s="8" t="s">
        <v>126</v>
      </c>
      <c r="D57" s="4">
        <v>45965</v>
      </c>
      <c r="E57" s="3">
        <v>100000</v>
      </c>
      <c r="F57" s="6">
        <v>1</v>
      </c>
      <c r="G57" s="7">
        <v>120000</v>
      </c>
      <c r="I57"/>
    </row>
    <row r="58" spans="1:9" x14ac:dyDescent="0.25">
      <c r="A58" s="9">
        <v>167</v>
      </c>
      <c r="B58" s="8" t="s">
        <v>6</v>
      </c>
      <c r="C58" s="8" t="s">
        <v>126</v>
      </c>
      <c r="D58" s="4">
        <v>45997</v>
      </c>
      <c r="E58" s="3">
        <v>100000</v>
      </c>
      <c r="F58" s="6">
        <v>4</v>
      </c>
      <c r="G58" s="7">
        <v>28750</v>
      </c>
      <c r="I58"/>
    </row>
    <row r="59" spans="1:9" x14ac:dyDescent="0.25">
      <c r="A59" s="9">
        <v>144</v>
      </c>
      <c r="B59" s="8" t="s">
        <v>52</v>
      </c>
      <c r="C59" s="8" t="s">
        <v>126</v>
      </c>
      <c r="D59" s="4">
        <v>45989</v>
      </c>
      <c r="E59" s="3">
        <v>300000</v>
      </c>
      <c r="F59" s="6">
        <v>1</v>
      </c>
      <c r="G59" s="7">
        <v>360000</v>
      </c>
      <c r="I59"/>
    </row>
    <row r="60" spans="1:9" x14ac:dyDescent="0.25">
      <c r="A60" s="9">
        <v>134</v>
      </c>
      <c r="B60" s="8" t="s">
        <v>43</v>
      </c>
      <c r="C60" s="8" t="s">
        <v>126</v>
      </c>
      <c r="D60" s="4">
        <v>45981</v>
      </c>
      <c r="E60" s="3">
        <v>100000</v>
      </c>
      <c r="F60" s="6">
        <v>1</v>
      </c>
      <c r="G60" s="7">
        <v>120000</v>
      </c>
      <c r="I60"/>
    </row>
    <row r="61" spans="1:9" x14ac:dyDescent="0.25">
      <c r="A61" s="9">
        <v>56</v>
      </c>
      <c r="B61" s="8" t="s">
        <v>9</v>
      </c>
      <c r="C61" s="8" t="s">
        <v>127</v>
      </c>
      <c r="D61" s="4">
        <v>45931</v>
      </c>
      <c r="E61" s="3">
        <v>40000</v>
      </c>
      <c r="F61" s="6">
        <v>1</v>
      </c>
      <c r="G61" s="7">
        <v>44000</v>
      </c>
      <c r="I61"/>
    </row>
    <row r="62" spans="1:9" x14ac:dyDescent="0.25">
      <c r="A62" s="9">
        <v>109</v>
      </c>
      <c r="B62" s="8" t="s">
        <v>24</v>
      </c>
      <c r="C62" s="8" t="s">
        <v>126</v>
      </c>
      <c r="D62" s="4">
        <v>45975</v>
      </c>
      <c r="E62" s="3">
        <v>500000</v>
      </c>
      <c r="F62" s="6">
        <v>3</v>
      </c>
      <c r="G62" s="7">
        <v>266666.6667</v>
      </c>
      <c r="I62"/>
    </row>
    <row r="63" spans="1:9" x14ac:dyDescent="0.25">
      <c r="A63" s="9">
        <v>125</v>
      </c>
      <c r="B63" s="8" t="s">
        <v>36</v>
      </c>
      <c r="C63" s="8" t="s">
        <v>126</v>
      </c>
      <c r="D63" s="4">
        <v>45979</v>
      </c>
      <c r="E63" s="3">
        <v>400000</v>
      </c>
      <c r="F63" s="6">
        <v>4</v>
      </c>
      <c r="G63" s="7">
        <v>115000</v>
      </c>
      <c r="I63"/>
    </row>
    <row r="64" spans="1:9" x14ac:dyDescent="0.25">
      <c r="A64" s="9">
        <v>149</v>
      </c>
      <c r="B64" s="8" t="s">
        <v>56</v>
      </c>
      <c r="C64" s="8" t="s">
        <v>126</v>
      </c>
      <c r="D64" s="4">
        <v>45992</v>
      </c>
      <c r="E64" s="3">
        <v>150000</v>
      </c>
      <c r="F64" s="6">
        <v>1</v>
      </c>
      <c r="G64" s="7">
        <v>180000</v>
      </c>
      <c r="I64"/>
    </row>
    <row r="65" spans="1:9" x14ac:dyDescent="0.25">
      <c r="A65" s="9">
        <v>161</v>
      </c>
      <c r="B65" s="8" t="s">
        <v>65</v>
      </c>
      <c r="C65" s="8" t="s">
        <v>128</v>
      </c>
      <c r="D65" s="4">
        <v>45996</v>
      </c>
      <c r="E65" s="3">
        <v>300000</v>
      </c>
      <c r="F65" s="6">
        <v>1</v>
      </c>
      <c r="G65" s="7">
        <v>360000</v>
      </c>
      <c r="I65"/>
    </row>
    <row r="66" spans="1:9" x14ac:dyDescent="0.25">
      <c r="A66" s="9">
        <v>131</v>
      </c>
      <c r="B66" s="8" t="s">
        <v>40</v>
      </c>
      <c r="C66" s="8" t="s">
        <v>126</v>
      </c>
      <c r="D66" s="4">
        <v>45981</v>
      </c>
      <c r="E66" s="3">
        <v>100000</v>
      </c>
      <c r="F66" s="6">
        <v>1</v>
      </c>
      <c r="G66" s="7">
        <v>120000</v>
      </c>
      <c r="I66"/>
    </row>
    <row r="67" spans="1:9" x14ac:dyDescent="0.25">
      <c r="A67" s="9">
        <v>114</v>
      </c>
      <c r="B67" s="8" t="s">
        <v>27</v>
      </c>
      <c r="C67" s="8" t="s">
        <v>126</v>
      </c>
      <c r="D67" s="4">
        <v>45973</v>
      </c>
      <c r="E67" s="3">
        <v>100000</v>
      </c>
      <c r="F67" s="6">
        <v>1</v>
      </c>
      <c r="G67" s="7">
        <v>120000</v>
      </c>
      <c r="I67"/>
    </row>
    <row r="68" spans="1:9" x14ac:dyDescent="0.25">
      <c r="A68" s="9">
        <v>141</v>
      </c>
      <c r="B68" s="8" t="s">
        <v>49</v>
      </c>
      <c r="C68" s="8" t="s">
        <v>126</v>
      </c>
      <c r="D68" s="4">
        <v>45988</v>
      </c>
      <c r="E68" s="3">
        <v>300000</v>
      </c>
      <c r="F68" s="6">
        <v>4</v>
      </c>
      <c r="G68" s="7">
        <v>86250</v>
      </c>
      <c r="I68"/>
    </row>
    <row r="69" spans="1:9" x14ac:dyDescent="0.25">
      <c r="A69" s="9">
        <v>101</v>
      </c>
      <c r="B69" s="8" t="s">
        <v>19</v>
      </c>
      <c r="C69" s="8" t="s">
        <v>126</v>
      </c>
      <c r="D69" s="4">
        <v>45970</v>
      </c>
      <c r="E69" s="3">
        <v>100000</v>
      </c>
      <c r="F69" s="6">
        <v>1</v>
      </c>
      <c r="G69" s="7">
        <v>120000</v>
      </c>
      <c r="I69"/>
    </row>
    <row r="70" spans="1:9" x14ac:dyDescent="0.25">
      <c r="A70" s="9">
        <v>170</v>
      </c>
      <c r="B70" s="8" t="s">
        <v>73</v>
      </c>
      <c r="C70" s="8" t="s">
        <v>126</v>
      </c>
      <c r="D70" s="4">
        <v>45997</v>
      </c>
      <c r="E70" s="3">
        <v>100000</v>
      </c>
      <c r="F70" s="6">
        <v>4</v>
      </c>
      <c r="G70" s="7">
        <v>28750</v>
      </c>
      <c r="I70"/>
    </row>
    <row r="71" spans="1:9" x14ac:dyDescent="0.25">
      <c r="A71" s="9">
        <v>116</v>
      </c>
      <c r="B71" s="8" t="s">
        <v>28</v>
      </c>
      <c r="C71" s="8" t="s">
        <v>126</v>
      </c>
      <c r="D71" s="4">
        <v>45974</v>
      </c>
      <c r="E71" s="3">
        <v>140000</v>
      </c>
      <c r="F71" s="6">
        <v>4</v>
      </c>
      <c r="G71" s="7">
        <v>40250</v>
      </c>
      <c r="I71"/>
    </row>
    <row r="72" spans="1:9" x14ac:dyDescent="0.25">
      <c r="A72" s="9">
        <v>172</v>
      </c>
      <c r="B72" s="8" t="s">
        <v>28</v>
      </c>
      <c r="C72" s="8" t="s">
        <v>126</v>
      </c>
      <c r="D72" s="4">
        <v>46000</v>
      </c>
      <c r="E72" s="3">
        <v>200000</v>
      </c>
      <c r="F72" s="6">
        <v>4</v>
      </c>
      <c r="G72" s="7">
        <v>57500</v>
      </c>
      <c r="I72"/>
    </row>
    <row r="73" spans="1:9" x14ac:dyDescent="0.25">
      <c r="A73" s="9">
        <v>140</v>
      </c>
      <c r="B73" s="8" t="s">
        <v>48</v>
      </c>
      <c r="C73" s="8" t="s">
        <v>126</v>
      </c>
      <c r="D73" s="4">
        <v>45987</v>
      </c>
      <c r="E73" s="3">
        <v>100000</v>
      </c>
      <c r="F73" s="6">
        <v>1</v>
      </c>
      <c r="G73" s="7">
        <v>120000</v>
      </c>
      <c r="I73"/>
    </row>
    <row r="74" spans="1:9" x14ac:dyDescent="0.25">
      <c r="A74" s="9">
        <v>68</v>
      </c>
      <c r="B74" s="8" t="s">
        <v>11</v>
      </c>
      <c r="C74" s="8" t="s">
        <v>126</v>
      </c>
      <c r="D74" s="4">
        <v>45939</v>
      </c>
      <c r="E74" s="3">
        <v>500000</v>
      </c>
      <c r="F74" s="6">
        <v>2</v>
      </c>
      <c r="G74" s="7">
        <v>350000</v>
      </c>
      <c r="I74"/>
    </row>
    <row r="75" spans="1:9" x14ac:dyDescent="0.25">
      <c r="A75" s="9">
        <v>166</v>
      </c>
      <c r="B75" s="8" t="s">
        <v>70</v>
      </c>
      <c r="C75" s="8" t="s">
        <v>126</v>
      </c>
      <c r="D75" s="4">
        <v>45997</v>
      </c>
      <c r="E75" s="3">
        <v>200000</v>
      </c>
      <c r="F75" s="6">
        <v>4</v>
      </c>
      <c r="G75" s="7">
        <v>57500</v>
      </c>
      <c r="I75"/>
    </row>
    <row r="76" spans="1:9" x14ac:dyDescent="0.25">
      <c r="A76" s="9">
        <v>139</v>
      </c>
      <c r="B76" s="8" t="s">
        <v>47</v>
      </c>
      <c r="C76" s="8" t="s">
        <v>126</v>
      </c>
      <c r="D76" s="4">
        <v>45984</v>
      </c>
      <c r="E76" s="3">
        <v>100000</v>
      </c>
      <c r="F76" s="6">
        <v>4</v>
      </c>
      <c r="G76" s="7">
        <v>28750</v>
      </c>
      <c r="I76"/>
    </row>
    <row r="77" spans="1:9" x14ac:dyDescent="0.25">
      <c r="A77" s="9">
        <v>124</v>
      </c>
      <c r="B77" s="8" t="s">
        <v>35</v>
      </c>
      <c r="C77" s="8" t="s">
        <v>126</v>
      </c>
      <c r="D77" s="4">
        <v>45979</v>
      </c>
      <c r="E77" s="3">
        <v>200000</v>
      </c>
      <c r="F77" s="6">
        <v>4</v>
      </c>
      <c r="G77" s="7">
        <v>57500</v>
      </c>
      <c r="I77"/>
    </row>
    <row r="78" spans="1:9" x14ac:dyDescent="0.25">
      <c r="A78" s="9">
        <v>69</v>
      </c>
      <c r="B78" s="8" t="s">
        <v>126</v>
      </c>
      <c r="C78" s="8" t="s">
        <v>127</v>
      </c>
      <c r="D78" s="4">
        <v>45942</v>
      </c>
      <c r="E78" s="3">
        <v>1000000</v>
      </c>
      <c r="F78" s="6">
        <v>6</v>
      </c>
      <c r="G78" s="7">
        <v>286667</v>
      </c>
      <c r="I78"/>
    </row>
    <row r="79" spans="1:9" x14ac:dyDescent="0.25">
      <c r="A79" s="9">
        <v>72</v>
      </c>
      <c r="B79" s="8" t="s">
        <v>131</v>
      </c>
      <c r="C79" s="8" t="s">
        <v>127</v>
      </c>
      <c r="D79" s="4">
        <v>45944</v>
      </c>
      <c r="E79" s="3">
        <v>86500</v>
      </c>
      <c r="F79" s="6">
        <v>1</v>
      </c>
      <c r="G79" s="7">
        <v>86500</v>
      </c>
      <c r="I79"/>
    </row>
    <row r="80" spans="1:9" x14ac:dyDescent="0.25">
      <c r="A80" s="9">
        <v>111</v>
      </c>
      <c r="B80" s="8" t="s">
        <v>25</v>
      </c>
      <c r="C80" s="8" t="s">
        <v>126</v>
      </c>
      <c r="D80" s="4">
        <v>46003</v>
      </c>
      <c r="E80" s="3">
        <v>100000</v>
      </c>
      <c r="F80" s="6">
        <v>1</v>
      </c>
      <c r="G80" s="7">
        <v>120000</v>
      </c>
      <c r="I80"/>
    </row>
  </sheetData>
  <phoneticPr fontId="7" type="noConversion"/>
  <dataValidations count="3">
    <dataValidation type="list" allowBlank="1" showInputMessage="1" showErrorMessage="1" sqref="I1 I81:I1048576" xr:uid="{B83615AB-EE7F-4ABB-B211-CC04FDD7A27F}">
      <formula1>"YANINA TECILLA,ALEXIS BLUSSAND,MARTIN CONTRERAS,GABI OLMOS,ARIEL CONSTRUCION"</formula1>
    </dataValidation>
    <dataValidation type="list" allowBlank="1" showInputMessage="1" showErrorMessage="1" sqref="I2:I6" xr:uid="{AA0F8E9C-69A2-44DB-9D67-0A0E3E242E74}">
      <formula1>"YANINA TECILLA,ALEXIS BLUSSAND,MARTIN CONTRERAS,GABI OLMOS,ARIEL CONSTRUCCION"</formula1>
    </dataValidation>
    <dataValidation type="list" allowBlank="1" showInputMessage="1" showErrorMessage="1" sqref="C1:C1048576" xr:uid="{1070A67E-3C1B-47B9-BFEA-5F11632D5751}">
      <formula1>"PREST-1,PREST-2,PREST-3,PREST-4,PREST-5"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L175"/>
  <sheetViews>
    <sheetView zoomScale="85" zoomScaleNormal="85" workbookViewId="0">
      <pane ySplit="1" topLeftCell="A2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2" width="16" style="6" customWidth="1"/>
    <col min="3" max="3" width="42.5703125" style="8" bestFit="1" customWidth="1"/>
    <col min="4" max="4" width="20.5703125" style="8" bestFit="1" customWidth="1"/>
    <col min="5" max="5" width="19.5703125" style="4" customWidth="1"/>
    <col min="6" max="6" width="17.7109375" style="7" bestFit="1" customWidth="1"/>
    <col min="7" max="7" width="16.5703125" customWidth="1"/>
    <col min="8" max="8" width="22" style="7" customWidth="1"/>
    <col min="9" max="9" width="14.85546875" style="7" customWidth="1"/>
    <col min="10" max="10" width="20.28515625" hidden="1" customWidth="1"/>
    <col min="11" max="11" width="24.42578125" style="6" bestFit="1" customWidth="1"/>
    <col min="12" max="12" width="20.5703125" bestFit="1" customWidth="1"/>
  </cols>
  <sheetData>
    <row r="1" spans="1:12" x14ac:dyDescent="0.25">
      <c r="A1" s="6" t="s">
        <v>0</v>
      </c>
      <c r="B1" s="6" t="s">
        <v>76</v>
      </c>
      <c r="C1" s="8" t="s">
        <v>107</v>
      </c>
      <c r="D1" s="8" t="s">
        <v>1</v>
      </c>
      <c r="E1" s="4" t="s">
        <v>77</v>
      </c>
      <c r="F1" s="7" t="s">
        <v>78</v>
      </c>
      <c r="G1" t="s">
        <v>79</v>
      </c>
      <c r="H1" s="7" t="s">
        <v>83</v>
      </c>
      <c r="I1" s="7" t="s">
        <v>84</v>
      </c>
      <c r="J1" t="s">
        <v>96</v>
      </c>
      <c r="K1" s="6" t="s">
        <v>103</v>
      </c>
      <c r="L1" t="s">
        <v>102</v>
      </c>
    </row>
    <row r="2" spans="1:12" x14ac:dyDescent="0.25">
      <c r="A2" s="6">
        <v>46</v>
      </c>
      <c r="B2" s="6">
        <v>3</v>
      </c>
      <c r="C2" s="8" t="s">
        <v>5</v>
      </c>
      <c r="D2" s="8" t="s">
        <v>127</v>
      </c>
      <c r="E2" s="4">
        <v>46008</v>
      </c>
      <c r="F2" s="7">
        <v>292857</v>
      </c>
      <c r="G2" t="s">
        <v>85</v>
      </c>
      <c r="I2" s="7">
        <f>IF(G2="Total",TBL_CUOTAS[[#This Row],[MONTO_CUOTA]],IF(G2="Parcial",IF(H2="",0,H2),0))</f>
        <v>292857</v>
      </c>
      <c r="J2" s="7" t="b">
        <f t="shared" ref="J2:J33" ca="1" si="0">AND($G2="Impago",$E2&lt;TODAY())</f>
        <v>0</v>
      </c>
      <c r="K2" s="10">
        <f ca="1">IF(TBL_CUOTAS[[#This Row],[CUOTA_ATRASADA]],1,0)</f>
        <v>0</v>
      </c>
      <c r="L2" s="7">
        <f ca="1">IF(TBL_CUOTAS[[#This Row],[CUOTA_ATRASADA]],TBL_CUOTAS[[#This Row],[MONTO_CUOTA]]-IF(TBL_CUOTAS[[#This Row],[MONTO_PAGADO]]="",0,TBL_CUOTAS[[#This Row],[MONTO_PAGADO]]),0)</f>
        <v>0</v>
      </c>
    </row>
    <row r="3" spans="1:12" x14ac:dyDescent="0.25">
      <c r="A3" s="6">
        <v>46</v>
      </c>
      <c r="B3" s="6">
        <v>4</v>
      </c>
      <c r="C3" s="8" t="s">
        <v>5</v>
      </c>
      <c r="D3" s="8" t="s">
        <v>127</v>
      </c>
      <c r="E3" s="4">
        <v>46038</v>
      </c>
      <c r="F3" s="7">
        <v>292857</v>
      </c>
      <c r="G3" t="s">
        <v>86</v>
      </c>
      <c r="I3" s="7">
        <f>IF(G3="Total",TBL_CUOTAS[[#This Row],[MONTO_CUOTA]],IF(G3="Parcial",IF(H3="",0,H3),0))</f>
        <v>0</v>
      </c>
      <c r="J3" s="7" t="b">
        <f t="shared" ca="1" si="0"/>
        <v>0</v>
      </c>
      <c r="K3" s="10">
        <f ca="1">IF(TBL_CUOTAS[[#This Row],[CUOTA_ATRASADA]],1,0)</f>
        <v>0</v>
      </c>
      <c r="L3" s="7">
        <f ca="1">IF(TBL_CUOTAS[[#This Row],[CUOTA_ATRASADA]],TBL_CUOTAS[[#This Row],[MONTO_CUOTA]]-IF(TBL_CUOTAS[[#This Row],[MONTO_PAGADO]]="",0,TBL_CUOTAS[[#This Row],[MONTO_PAGADO]]),0)</f>
        <v>0</v>
      </c>
    </row>
    <row r="4" spans="1:12" x14ac:dyDescent="0.25">
      <c r="A4" s="6">
        <v>46</v>
      </c>
      <c r="B4" s="6">
        <v>5</v>
      </c>
      <c r="C4" s="8" t="s">
        <v>5</v>
      </c>
      <c r="D4" s="8" t="s">
        <v>127</v>
      </c>
      <c r="E4" s="4">
        <v>46068</v>
      </c>
      <c r="F4" s="7">
        <v>292857</v>
      </c>
      <c r="G4" t="s">
        <v>86</v>
      </c>
      <c r="I4" s="7">
        <f>IF(G4="Total",TBL_CUOTAS[[#This Row],[MONTO_CUOTA]],IF(G4="Parcial",IF(H4="",0,H4),0))</f>
        <v>0</v>
      </c>
      <c r="J4" s="7" t="b">
        <f t="shared" ca="1" si="0"/>
        <v>0</v>
      </c>
      <c r="K4" s="10">
        <f ca="1">IF(TBL_CUOTAS[[#This Row],[CUOTA_ATRASADA]],1,0)</f>
        <v>0</v>
      </c>
      <c r="L4" s="7">
        <f ca="1">IF(TBL_CUOTAS[[#This Row],[CUOTA_ATRASADA]],TBL_CUOTAS[[#This Row],[MONTO_CUOTA]]-IF(TBL_CUOTAS[[#This Row],[MONTO_PAGADO]]="",0,TBL_CUOTAS[[#This Row],[MONTO_PAGADO]]),0)</f>
        <v>0</v>
      </c>
    </row>
    <row r="5" spans="1:12" x14ac:dyDescent="0.25">
      <c r="A5" s="6">
        <v>46</v>
      </c>
      <c r="B5" s="6">
        <v>6</v>
      </c>
      <c r="C5" s="8" t="s">
        <v>5</v>
      </c>
      <c r="D5" s="8" t="s">
        <v>127</v>
      </c>
      <c r="E5" s="4">
        <v>46098</v>
      </c>
      <c r="F5" s="7">
        <v>292857</v>
      </c>
      <c r="G5" t="s">
        <v>86</v>
      </c>
      <c r="I5" s="7">
        <f>IF(G5="Total",TBL_CUOTAS[[#This Row],[MONTO_CUOTA]],IF(G5="Parcial",IF(H5="",0,H5),0))</f>
        <v>0</v>
      </c>
      <c r="J5" s="7" t="b">
        <f t="shared" ca="1" si="0"/>
        <v>0</v>
      </c>
      <c r="K5" s="10">
        <f ca="1">IF(TBL_CUOTAS[[#This Row],[CUOTA_ATRASADA]],1,0)</f>
        <v>0</v>
      </c>
      <c r="L5" s="7">
        <f ca="1">IF(TBL_CUOTAS[[#This Row],[CUOTA_ATRASADA]],TBL_CUOTAS[[#This Row],[MONTO_CUOTA]]-IF(TBL_CUOTAS[[#This Row],[MONTO_PAGADO]]="",0,TBL_CUOTAS[[#This Row],[MONTO_PAGADO]]),0)</f>
        <v>0</v>
      </c>
    </row>
    <row r="6" spans="1:12" x14ac:dyDescent="0.25">
      <c r="A6" s="6">
        <v>46</v>
      </c>
      <c r="B6" s="6">
        <v>7</v>
      </c>
      <c r="C6" s="8" t="s">
        <v>5</v>
      </c>
      <c r="D6" s="8" t="s">
        <v>127</v>
      </c>
      <c r="E6" s="4">
        <v>46128</v>
      </c>
      <c r="F6" s="7">
        <v>292857</v>
      </c>
      <c r="G6" t="s">
        <v>86</v>
      </c>
      <c r="I6" s="7">
        <f>IF(G6="Total",TBL_CUOTAS[[#This Row],[MONTO_CUOTA]],IF(G6="Parcial",IF(H6="",0,H6),0))</f>
        <v>0</v>
      </c>
      <c r="J6" s="7" t="b">
        <f t="shared" ca="1" si="0"/>
        <v>0</v>
      </c>
      <c r="K6" s="10">
        <f ca="1">IF(TBL_CUOTAS[[#This Row],[CUOTA_ATRASADA]],1,0)</f>
        <v>0</v>
      </c>
      <c r="L6" s="7">
        <f ca="1">IF(TBL_CUOTAS[[#This Row],[CUOTA_ATRASADA]],TBL_CUOTAS[[#This Row],[MONTO_CUOTA]]-IF(TBL_CUOTAS[[#This Row],[MONTO_PAGADO]]="",0,TBL_CUOTAS[[#This Row],[MONTO_PAGADO]]),0)</f>
        <v>0</v>
      </c>
    </row>
    <row r="7" spans="1:12" x14ac:dyDescent="0.25">
      <c r="A7" s="6">
        <v>50</v>
      </c>
      <c r="B7" s="6">
        <v>1</v>
      </c>
      <c r="C7" s="8" t="s">
        <v>6</v>
      </c>
      <c r="D7" s="8" t="s">
        <v>126</v>
      </c>
      <c r="E7" s="4">
        <v>45996</v>
      </c>
      <c r="F7" s="7">
        <v>120000</v>
      </c>
      <c r="G7" t="s">
        <v>85</v>
      </c>
      <c r="I7" s="7">
        <f>IF(G7="Total",TBL_CUOTAS[[#This Row],[MONTO_CUOTA]],IF(G7="Parcial",IF(H7="",0,H7),0))</f>
        <v>120000</v>
      </c>
      <c r="J7" s="7" t="b">
        <f t="shared" ca="1" si="0"/>
        <v>0</v>
      </c>
      <c r="K7" s="10">
        <f ca="1">IF(TBL_CUOTAS[[#This Row],[CUOTA_ATRASADA]],1,0)</f>
        <v>0</v>
      </c>
      <c r="L7" s="7">
        <f ca="1">IF(TBL_CUOTAS[[#This Row],[CUOTA_ATRASADA]],TBL_CUOTAS[[#This Row],[MONTO_CUOTA]]-IF(TBL_CUOTAS[[#This Row],[MONTO_PAGADO]]="",0,TBL_CUOTAS[[#This Row],[MONTO_PAGADO]]),0)</f>
        <v>0</v>
      </c>
    </row>
    <row r="8" spans="1:12" x14ac:dyDescent="0.25">
      <c r="A8" s="6">
        <v>51</v>
      </c>
      <c r="B8" s="6">
        <v>1</v>
      </c>
      <c r="C8" s="8" t="s">
        <v>7</v>
      </c>
      <c r="D8" s="8" t="s">
        <v>126</v>
      </c>
      <c r="E8" s="4">
        <v>45996</v>
      </c>
      <c r="F8" s="7">
        <v>180000</v>
      </c>
      <c r="G8" t="s">
        <v>85</v>
      </c>
      <c r="I8" s="7">
        <f>IF(G8="Total",TBL_CUOTAS[[#This Row],[MONTO_CUOTA]],IF(G8="Parcial",IF(H8="",0,H8),0))</f>
        <v>180000</v>
      </c>
      <c r="J8" s="7" t="b">
        <f t="shared" ca="1" si="0"/>
        <v>0</v>
      </c>
      <c r="K8" s="10">
        <f ca="1">IF(TBL_CUOTAS[[#This Row],[CUOTA_ATRASADA]],1,0)</f>
        <v>0</v>
      </c>
      <c r="L8" s="7">
        <f ca="1">IF(TBL_CUOTAS[[#This Row],[CUOTA_ATRASADA]],TBL_CUOTAS[[#This Row],[MONTO_CUOTA]]-IF(TBL_CUOTAS[[#This Row],[MONTO_PAGADO]]="",0,TBL_CUOTAS[[#This Row],[MONTO_PAGADO]]),0)</f>
        <v>0</v>
      </c>
    </row>
    <row r="9" spans="1:12" x14ac:dyDescent="0.25">
      <c r="A9" s="6">
        <v>55</v>
      </c>
      <c r="B9" s="6">
        <v>1</v>
      </c>
      <c r="C9" s="8" t="s">
        <v>8</v>
      </c>
      <c r="D9" s="8" t="s">
        <v>126</v>
      </c>
      <c r="E9" s="4">
        <v>46025</v>
      </c>
      <c r="F9" s="7">
        <v>120000</v>
      </c>
      <c r="G9" t="s">
        <v>86</v>
      </c>
      <c r="I9" s="7">
        <f>IF(G9="Total",TBL_CUOTAS[[#This Row],[MONTO_CUOTA]],IF(G9="Parcial",IF(H9="",0,H9),0))</f>
        <v>0</v>
      </c>
      <c r="J9" s="7" t="b">
        <f t="shared" ca="1" si="0"/>
        <v>0</v>
      </c>
      <c r="K9" s="10">
        <f ca="1">IF(TBL_CUOTAS[[#This Row],[CUOTA_ATRASADA]],1,0)</f>
        <v>0</v>
      </c>
      <c r="L9" s="7">
        <f ca="1">IF(TBL_CUOTAS[[#This Row],[CUOTA_ATRASADA]],TBL_CUOTAS[[#This Row],[MONTO_CUOTA]]-IF(TBL_CUOTAS[[#This Row],[MONTO_PAGADO]]="",0,TBL_CUOTAS[[#This Row],[MONTO_PAGADO]]),0)</f>
        <v>0</v>
      </c>
    </row>
    <row r="10" spans="1:12" x14ac:dyDescent="0.25">
      <c r="A10" s="6">
        <v>56</v>
      </c>
      <c r="B10" s="6">
        <v>1</v>
      </c>
      <c r="C10" s="8" t="s">
        <v>9</v>
      </c>
      <c r="D10" s="8" t="s">
        <v>127</v>
      </c>
      <c r="E10" s="4">
        <v>45963</v>
      </c>
      <c r="F10" s="7">
        <v>44000</v>
      </c>
      <c r="G10" t="s">
        <v>86</v>
      </c>
      <c r="I10" s="7">
        <f>IF(G10="Total",TBL_CUOTAS[[#This Row],[MONTO_CUOTA]],IF(G10="Parcial",IF(H10="",0,H10),0))</f>
        <v>0</v>
      </c>
      <c r="J10" s="7" t="b">
        <f t="shared" ca="1" si="0"/>
        <v>1</v>
      </c>
      <c r="K10" s="10">
        <f ca="1">IF(TBL_CUOTAS[[#This Row],[CUOTA_ATRASADA]],1,0)</f>
        <v>1</v>
      </c>
      <c r="L10" s="7">
        <f ca="1">IF(TBL_CUOTAS[[#This Row],[CUOTA_ATRASADA]],TBL_CUOTAS[[#This Row],[MONTO_CUOTA]]-IF(TBL_CUOTAS[[#This Row],[MONTO_PAGADO]]="",0,TBL_CUOTAS[[#This Row],[MONTO_PAGADO]]),0)</f>
        <v>44000</v>
      </c>
    </row>
    <row r="11" spans="1:12" x14ac:dyDescent="0.25">
      <c r="A11" s="6">
        <v>58</v>
      </c>
      <c r="B11" s="6">
        <v>1</v>
      </c>
      <c r="C11" s="8" t="s">
        <v>10</v>
      </c>
      <c r="D11" s="8" t="s">
        <v>126</v>
      </c>
      <c r="E11" s="4">
        <v>45978</v>
      </c>
      <c r="F11" s="7">
        <v>185000</v>
      </c>
      <c r="G11" t="s">
        <v>85</v>
      </c>
      <c r="I11" s="7">
        <f>IF(G11="Total",TBL_CUOTAS[[#This Row],[MONTO_CUOTA]],IF(G11="Parcial",IF(H11="",0,H11),0))</f>
        <v>185000</v>
      </c>
      <c r="J11" s="7" t="b">
        <f t="shared" ca="1" si="0"/>
        <v>0</v>
      </c>
      <c r="K11" s="10">
        <f ca="1">IF(TBL_CUOTAS[[#This Row],[CUOTA_ATRASADA]],1,0)</f>
        <v>0</v>
      </c>
      <c r="L11" s="7">
        <f ca="1">IF(TBL_CUOTAS[[#This Row],[CUOTA_ATRASADA]],TBL_CUOTAS[[#This Row],[MONTO_CUOTA]]-IF(TBL_CUOTAS[[#This Row],[MONTO_PAGADO]]="",0,TBL_CUOTAS[[#This Row],[MONTO_PAGADO]]),0)</f>
        <v>0</v>
      </c>
    </row>
    <row r="12" spans="1:12" x14ac:dyDescent="0.25">
      <c r="A12" s="6">
        <v>58</v>
      </c>
      <c r="B12" s="6">
        <v>2</v>
      </c>
      <c r="C12" s="8" t="s">
        <v>10</v>
      </c>
      <c r="D12" s="8" t="s">
        <v>126</v>
      </c>
      <c r="E12" s="4">
        <v>45985</v>
      </c>
      <c r="F12" s="7">
        <v>190000</v>
      </c>
      <c r="G12" t="s">
        <v>85</v>
      </c>
      <c r="I12" s="7">
        <f>IF(G12="Total",TBL_CUOTAS[[#This Row],[MONTO_CUOTA]],IF(G12="Parcial",IF(H12="",0,H12),0))</f>
        <v>190000</v>
      </c>
      <c r="J12" s="7" t="b">
        <f t="shared" ca="1" si="0"/>
        <v>0</v>
      </c>
      <c r="K12" s="10">
        <f ca="1">IF(TBL_CUOTAS[[#This Row],[CUOTA_ATRASADA]],1,0)</f>
        <v>0</v>
      </c>
      <c r="L12" s="7">
        <f ca="1">IF(TBL_CUOTAS[[#This Row],[CUOTA_ATRASADA]],TBL_CUOTAS[[#This Row],[MONTO_CUOTA]]-IF(TBL_CUOTAS[[#This Row],[MONTO_PAGADO]]="",0,TBL_CUOTAS[[#This Row],[MONTO_PAGADO]]),0)</f>
        <v>0</v>
      </c>
    </row>
    <row r="13" spans="1:12" x14ac:dyDescent="0.25">
      <c r="A13" s="6">
        <v>58</v>
      </c>
      <c r="B13" s="6">
        <v>3</v>
      </c>
      <c r="C13" s="8" t="s">
        <v>10</v>
      </c>
      <c r="D13" s="8" t="s">
        <v>126</v>
      </c>
      <c r="E13" s="4">
        <v>46003</v>
      </c>
      <c r="F13" s="7">
        <v>195000</v>
      </c>
      <c r="G13" t="s">
        <v>86</v>
      </c>
      <c r="I13" s="7">
        <f>IF(G13="Total",TBL_CUOTAS[[#This Row],[MONTO_CUOTA]],IF(G13="Parcial",IF(H13="",0,H13),0))</f>
        <v>0</v>
      </c>
      <c r="J13" s="7" t="b">
        <f t="shared" ca="1" si="0"/>
        <v>0</v>
      </c>
      <c r="K13" s="10">
        <f ca="1">IF(TBL_CUOTAS[[#This Row],[CUOTA_ATRASADA]],1,0)</f>
        <v>0</v>
      </c>
      <c r="L13" s="7">
        <f ca="1">IF(TBL_CUOTAS[[#This Row],[CUOTA_ATRASADA]],TBL_CUOTAS[[#This Row],[MONTO_CUOTA]]-IF(TBL_CUOTAS[[#This Row],[MONTO_PAGADO]]="",0,TBL_CUOTAS[[#This Row],[MONTO_PAGADO]]),0)</f>
        <v>0</v>
      </c>
    </row>
    <row r="14" spans="1:12" x14ac:dyDescent="0.25">
      <c r="A14" s="6">
        <v>58</v>
      </c>
      <c r="B14" s="6">
        <v>4</v>
      </c>
      <c r="C14" s="8" t="s">
        <v>10</v>
      </c>
      <c r="D14" s="8" t="s">
        <v>126</v>
      </c>
      <c r="E14" s="4">
        <v>46010</v>
      </c>
      <c r="F14" s="7">
        <v>195000</v>
      </c>
      <c r="G14" t="s">
        <v>86</v>
      </c>
      <c r="I14" s="7">
        <f>IF(G14="Total",TBL_CUOTAS[[#This Row],[MONTO_CUOTA]],IF(G14="Parcial",IF(H14="",0,H14),0))</f>
        <v>0</v>
      </c>
      <c r="J14" s="7" t="b">
        <f t="shared" ca="1" si="0"/>
        <v>0</v>
      </c>
      <c r="K14" s="10">
        <f ca="1">IF(TBL_CUOTAS[[#This Row],[CUOTA_ATRASADA]],1,0)</f>
        <v>0</v>
      </c>
      <c r="L14" s="7">
        <f ca="1">IF(TBL_CUOTAS[[#This Row],[CUOTA_ATRASADA]],TBL_CUOTAS[[#This Row],[MONTO_CUOTA]]-IF(TBL_CUOTAS[[#This Row],[MONTO_PAGADO]]="",0,TBL_CUOTAS[[#This Row],[MONTO_PAGADO]]),0)</f>
        <v>0</v>
      </c>
    </row>
    <row r="15" spans="1:12" x14ac:dyDescent="0.25">
      <c r="A15" s="6">
        <v>68</v>
      </c>
      <c r="B15" s="6">
        <v>2</v>
      </c>
      <c r="C15" s="8" t="s">
        <v>11</v>
      </c>
      <c r="D15" s="8" t="s">
        <v>126</v>
      </c>
      <c r="E15" s="4">
        <v>46001</v>
      </c>
      <c r="F15" s="7">
        <v>350000</v>
      </c>
      <c r="G15" t="s">
        <v>86</v>
      </c>
      <c r="I15" s="7">
        <f>IF(G15="Total",TBL_CUOTAS[[#This Row],[MONTO_CUOTA]],IF(G15="Parcial",IF(H15="",0,H15),0))</f>
        <v>0</v>
      </c>
      <c r="J15" s="7" t="b">
        <f t="shared" ca="1" si="0"/>
        <v>1</v>
      </c>
      <c r="K15" s="10">
        <f ca="1">IF(TBL_CUOTAS[[#This Row],[CUOTA_ATRASADA]],1,0)</f>
        <v>1</v>
      </c>
      <c r="L15" s="7">
        <f ca="1">IF(TBL_CUOTAS[[#This Row],[CUOTA_ATRASADA]],TBL_CUOTAS[[#This Row],[MONTO_CUOTA]]-IF(TBL_CUOTAS[[#This Row],[MONTO_PAGADO]]="",0,TBL_CUOTAS[[#This Row],[MONTO_PAGADO]]),0)</f>
        <v>350000</v>
      </c>
    </row>
    <row r="16" spans="1:12" x14ac:dyDescent="0.25">
      <c r="A16" s="6">
        <v>69</v>
      </c>
      <c r="B16" s="6">
        <v>2</v>
      </c>
      <c r="C16" s="8" t="s">
        <v>126</v>
      </c>
      <c r="D16" s="8" t="s">
        <v>127</v>
      </c>
      <c r="E16" s="4">
        <v>46004</v>
      </c>
      <c r="F16" s="7">
        <v>286667</v>
      </c>
      <c r="G16" t="s">
        <v>86</v>
      </c>
      <c r="I16" s="7">
        <f>IF(G16="Total",TBL_CUOTAS[[#This Row],[MONTO_CUOTA]],IF(G16="Parcial",IF(H16="",0,H16),0))</f>
        <v>0</v>
      </c>
      <c r="J16" s="7" t="b">
        <f t="shared" ca="1" si="0"/>
        <v>0</v>
      </c>
      <c r="K16" s="10">
        <f ca="1">IF(TBL_CUOTAS[[#This Row],[CUOTA_ATRASADA]],1,0)</f>
        <v>0</v>
      </c>
      <c r="L16" s="7">
        <f ca="1">IF(TBL_CUOTAS[[#This Row],[CUOTA_ATRASADA]],TBL_CUOTAS[[#This Row],[MONTO_CUOTA]]-IF(TBL_CUOTAS[[#This Row],[MONTO_PAGADO]]="",0,TBL_CUOTAS[[#This Row],[MONTO_PAGADO]]),0)</f>
        <v>0</v>
      </c>
    </row>
    <row r="17" spans="1:12" x14ac:dyDescent="0.25">
      <c r="A17" s="6">
        <v>69</v>
      </c>
      <c r="B17" s="6">
        <v>3</v>
      </c>
      <c r="C17" s="8" t="s">
        <v>126</v>
      </c>
      <c r="D17" s="8" t="s">
        <v>127</v>
      </c>
      <c r="E17" s="4">
        <v>46034</v>
      </c>
      <c r="F17" s="7">
        <v>286667</v>
      </c>
      <c r="G17" t="s">
        <v>86</v>
      </c>
      <c r="I17" s="7">
        <f>IF(G17="Total",TBL_CUOTAS[[#This Row],[MONTO_CUOTA]],IF(G17="Parcial",IF(H17="",0,H17),0))</f>
        <v>0</v>
      </c>
      <c r="J17" s="7" t="b">
        <f t="shared" ca="1" si="0"/>
        <v>0</v>
      </c>
      <c r="K17" s="10">
        <f ca="1">IF(TBL_CUOTAS[[#This Row],[CUOTA_ATRASADA]],1,0)</f>
        <v>0</v>
      </c>
      <c r="L17" s="7">
        <f ca="1">IF(TBL_CUOTAS[[#This Row],[CUOTA_ATRASADA]],TBL_CUOTAS[[#This Row],[MONTO_CUOTA]]-IF(TBL_CUOTAS[[#This Row],[MONTO_PAGADO]]="",0,TBL_CUOTAS[[#This Row],[MONTO_PAGADO]]),0)</f>
        <v>0</v>
      </c>
    </row>
    <row r="18" spans="1:12" x14ac:dyDescent="0.25">
      <c r="A18" s="6">
        <v>69</v>
      </c>
      <c r="B18" s="6">
        <v>4</v>
      </c>
      <c r="C18" s="8" t="s">
        <v>126</v>
      </c>
      <c r="D18" s="8" t="s">
        <v>127</v>
      </c>
      <c r="E18" s="4">
        <v>46064</v>
      </c>
      <c r="F18" s="7">
        <v>286667</v>
      </c>
      <c r="G18" t="s">
        <v>86</v>
      </c>
      <c r="I18" s="7">
        <f>IF(G18="Total",TBL_CUOTAS[[#This Row],[MONTO_CUOTA]],IF(G18="Parcial",IF(H18="",0,H18),0))</f>
        <v>0</v>
      </c>
      <c r="J18" s="7" t="b">
        <f t="shared" ca="1" si="0"/>
        <v>0</v>
      </c>
      <c r="K18" s="10">
        <f ca="1">IF(TBL_CUOTAS[[#This Row],[CUOTA_ATRASADA]],1,0)</f>
        <v>0</v>
      </c>
      <c r="L18" s="7">
        <f ca="1">IF(TBL_CUOTAS[[#This Row],[CUOTA_ATRASADA]],TBL_CUOTAS[[#This Row],[MONTO_CUOTA]]-IF(TBL_CUOTAS[[#This Row],[MONTO_PAGADO]]="",0,TBL_CUOTAS[[#This Row],[MONTO_PAGADO]]),0)</f>
        <v>0</v>
      </c>
    </row>
    <row r="19" spans="1:12" x14ac:dyDescent="0.25">
      <c r="A19" s="6">
        <v>69</v>
      </c>
      <c r="B19" s="6">
        <v>5</v>
      </c>
      <c r="C19" s="8" t="s">
        <v>126</v>
      </c>
      <c r="D19" s="8" t="s">
        <v>127</v>
      </c>
      <c r="E19" s="4">
        <v>46094</v>
      </c>
      <c r="F19" s="7">
        <v>286667</v>
      </c>
      <c r="G19" t="s">
        <v>86</v>
      </c>
      <c r="I19" s="7">
        <f>IF(G19="Total",TBL_CUOTAS[[#This Row],[MONTO_CUOTA]],IF(G19="Parcial",IF(H19="",0,H19),0))</f>
        <v>0</v>
      </c>
      <c r="J19" s="7" t="b">
        <f t="shared" ca="1" si="0"/>
        <v>0</v>
      </c>
      <c r="K19" s="10">
        <f ca="1">IF(TBL_CUOTAS[[#This Row],[CUOTA_ATRASADA]],1,0)</f>
        <v>0</v>
      </c>
      <c r="L19" s="7">
        <f ca="1">IF(TBL_CUOTAS[[#This Row],[CUOTA_ATRASADA]],TBL_CUOTAS[[#This Row],[MONTO_CUOTA]]-IF(TBL_CUOTAS[[#This Row],[MONTO_PAGADO]]="",0,TBL_CUOTAS[[#This Row],[MONTO_PAGADO]]),0)</f>
        <v>0</v>
      </c>
    </row>
    <row r="20" spans="1:12" x14ac:dyDescent="0.25">
      <c r="A20" s="6">
        <v>69</v>
      </c>
      <c r="B20" s="6">
        <v>6</v>
      </c>
      <c r="C20" s="8" t="s">
        <v>126</v>
      </c>
      <c r="D20" s="8" t="s">
        <v>127</v>
      </c>
      <c r="E20" s="4">
        <v>46124</v>
      </c>
      <c r="F20" s="7">
        <v>286667</v>
      </c>
      <c r="G20" t="s">
        <v>86</v>
      </c>
      <c r="I20" s="7">
        <f>IF(G20="Total",TBL_CUOTAS[[#This Row],[MONTO_CUOTA]],IF(G20="Parcial",IF(H20="",0,H20),0))</f>
        <v>0</v>
      </c>
      <c r="J20" s="7" t="b">
        <f t="shared" ca="1" si="0"/>
        <v>0</v>
      </c>
      <c r="K20" s="10">
        <f ca="1">IF(TBL_CUOTAS[[#This Row],[CUOTA_ATRASADA]],1,0)</f>
        <v>0</v>
      </c>
      <c r="L20" s="7">
        <f ca="1">IF(TBL_CUOTAS[[#This Row],[CUOTA_ATRASADA]],TBL_CUOTAS[[#This Row],[MONTO_CUOTA]]-IF(TBL_CUOTAS[[#This Row],[MONTO_PAGADO]]="",0,TBL_CUOTAS[[#This Row],[MONTO_PAGADO]]),0)</f>
        <v>0</v>
      </c>
    </row>
    <row r="21" spans="1:12" x14ac:dyDescent="0.25">
      <c r="A21" s="6">
        <v>72</v>
      </c>
      <c r="B21" s="6">
        <v>1</v>
      </c>
      <c r="C21" s="8" t="s">
        <v>131</v>
      </c>
      <c r="D21" s="8" t="s">
        <v>127</v>
      </c>
      <c r="E21" s="4">
        <v>46006</v>
      </c>
      <c r="F21" s="7">
        <v>86500</v>
      </c>
      <c r="G21" t="s">
        <v>86</v>
      </c>
      <c r="I21" s="7">
        <f>IF(G21="Total",TBL_CUOTAS[[#This Row],[MONTO_CUOTA]],IF(G21="Parcial",IF(H21="",0,H21),0))</f>
        <v>0</v>
      </c>
      <c r="J21" s="7" t="b">
        <f t="shared" ca="1" si="0"/>
        <v>0</v>
      </c>
      <c r="K21" s="10">
        <f ca="1">IF(TBL_CUOTAS[[#This Row],[CUOTA_ATRASADA]],1,0)</f>
        <v>0</v>
      </c>
      <c r="L21" s="7">
        <f ca="1">IF(TBL_CUOTAS[[#This Row],[CUOTA_ATRASADA]],TBL_CUOTAS[[#This Row],[MONTO_CUOTA]]-IF(TBL_CUOTAS[[#This Row],[MONTO_PAGADO]]="",0,TBL_CUOTAS[[#This Row],[MONTO_PAGADO]]),0)</f>
        <v>0</v>
      </c>
    </row>
    <row r="22" spans="1:12" x14ac:dyDescent="0.25">
      <c r="A22" s="6">
        <v>73</v>
      </c>
      <c r="B22" s="6">
        <v>1</v>
      </c>
      <c r="C22" s="8" t="s">
        <v>12</v>
      </c>
      <c r="D22" s="8" t="s">
        <v>127</v>
      </c>
      <c r="E22" s="4">
        <v>46008</v>
      </c>
      <c r="F22" s="7">
        <v>360000</v>
      </c>
      <c r="G22" t="s">
        <v>86</v>
      </c>
      <c r="I22" s="7">
        <f>IF(G22="Total",TBL_CUOTAS[[#This Row],[MONTO_CUOTA]],IF(G22="Parcial",IF(H22="",0,H22),0))</f>
        <v>0</v>
      </c>
      <c r="J22" s="7" t="b">
        <f t="shared" ca="1" si="0"/>
        <v>0</v>
      </c>
      <c r="K22" s="10">
        <f ca="1">IF(TBL_CUOTAS[[#This Row],[CUOTA_ATRASADA]],1,0)</f>
        <v>0</v>
      </c>
      <c r="L22" s="7">
        <f ca="1">IF(TBL_CUOTAS[[#This Row],[CUOTA_ATRASADA]],TBL_CUOTAS[[#This Row],[MONTO_CUOTA]]-IF(TBL_CUOTAS[[#This Row],[MONTO_PAGADO]]="",0,TBL_CUOTAS[[#This Row],[MONTO_PAGADO]]),0)</f>
        <v>0</v>
      </c>
    </row>
    <row r="23" spans="1:12" x14ac:dyDescent="0.25">
      <c r="A23" s="6">
        <v>81</v>
      </c>
      <c r="B23" s="6">
        <v>1</v>
      </c>
      <c r="C23" s="8" t="s">
        <v>13</v>
      </c>
      <c r="D23" s="8" t="s">
        <v>128</v>
      </c>
      <c r="E23" s="4">
        <v>46015</v>
      </c>
      <c r="F23" s="7">
        <v>420000</v>
      </c>
      <c r="G23" t="s">
        <v>86</v>
      </c>
      <c r="I23" s="7">
        <f>IF(G23="Total",TBL_CUOTAS[[#This Row],[MONTO_CUOTA]],IF(G23="Parcial",IF(H23="",0,H23),0))</f>
        <v>0</v>
      </c>
      <c r="J23" s="7" t="b">
        <f t="shared" ca="1" si="0"/>
        <v>0</v>
      </c>
      <c r="K23" s="10">
        <f ca="1">IF(TBL_CUOTAS[[#This Row],[CUOTA_ATRASADA]],1,0)</f>
        <v>0</v>
      </c>
      <c r="L23" s="7">
        <f ca="1">IF(TBL_CUOTAS[[#This Row],[CUOTA_ATRASADA]],TBL_CUOTAS[[#This Row],[MONTO_CUOTA]]-IF(TBL_CUOTAS[[#This Row],[MONTO_PAGADO]]="",0,TBL_CUOTAS[[#This Row],[MONTO_PAGADO]]),0)</f>
        <v>0</v>
      </c>
    </row>
    <row r="24" spans="1:12" x14ac:dyDescent="0.25">
      <c r="A24" s="6">
        <v>90</v>
      </c>
      <c r="B24" s="6">
        <v>1</v>
      </c>
      <c r="C24" s="8" t="s">
        <v>14</v>
      </c>
      <c r="D24" s="8" t="s">
        <v>126</v>
      </c>
      <c r="E24" s="4">
        <v>45990</v>
      </c>
      <c r="F24" s="7">
        <v>195000</v>
      </c>
      <c r="G24" t="s">
        <v>86</v>
      </c>
      <c r="I24" s="7">
        <f>IF(G24="Total",TBL_CUOTAS[[#This Row],[MONTO_CUOTA]],IF(G24="Parcial",IF(H24="",0,H24),0))</f>
        <v>0</v>
      </c>
      <c r="J24" s="7" t="b">
        <f t="shared" ca="1" si="0"/>
        <v>1</v>
      </c>
      <c r="K24" s="10">
        <f ca="1">IF(TBL_CUOTAS[[#This Row],[CUOTA_ATRASADA]],1,0)</f>
        <v>1</v>
      </c>
      <c r="L24" s="7">
        <f ca="1">IF(TBL_CUOTAS[[#This Row],[CUOTA_ATRASADA]],TBL_CUOTAS[[#This Row],[MONTO_CUOTA]]-IF(TBL_CUOTAS[[#This Row],[MONTO_PAGADO]]="",0,TBL_CUOTAS[[#This Row],[MONTO_PAGADO]]),0)</f>
        <v>195000</v>
      </c>
    </row>
    <row r="25" spans="1:12" x14ac:dyDescent="0.25">
      <c r="A25" s="6">
        <v>93</v>
      </c>
      <c r="B25" s="6">
        <v>1</v>
      </c>
      <c r="C25" s="8" t="s">
        <v>15</v>
      </c>
      <c r="D25" s="8" t="s">
        <v>126</v>
      </c>
      <c r="E25" s="4">
        <v>45996</v>
      </c>
      <c r="F25" s="7">
        <v>180000</v>
      </c>
      <c r="G25" t="s">
        <v>86</v>
      </c>
      <c r="I25" s="7">
        <f>IF(G25="Total",TBL_CUOTAS[[#This Row],[MONTO_CUOTA]],IF(G25="Parcial",IF(H25="",0,H25),0))</f>
        <v>0</v>
      </c>
      <c r="J25" s="7" t="b">
        <f t="shared" ca="1" si="0"/>
        <v>1</v>
      </c>
      <c r="K25" s="10">
        <f ca="1">IF(TBL_CUOTAS[[#This Row],[CUOTA_ATRASADA]],1,0)</f>
        <v>1</v>
      </c>
      <c r="L25" s="7">
        <f ca="1">IF(TBL_CUOTAS[[#This Row],[CUOTA_ATRASADA]],TBL_CUOTAS[[#This Row],[MONTO_CUOTA]]-IF(TBL_CUOTAS[[#This Row],[MONTO_PAGADO]]="",0,TBL_CUOTAS[[#This Row],[MONTO_PAGADO]]),0)</f>
        <v>180000</v>
      </c>
    </row>
    <row r="26" spans="1:12" x14ac:dyDescent="0.25">
      <c r="A26" s="6">
        <v>96</v>
      </c>
      <c r="B26" s="6">
        <v>1</v>
      </c>
      <c r="C26" s="8" t="s">
        <v>16</v>
      </c>
      <c r="D26" s="8" t="s">
        <v>126</v>
      </c>
      <c r="E26" s="4">
        <v>45982</v>
      </c>
      <c r="F26" s="7">
        <v>28750</v>
      </c>
      <c r="G26" t="s">
        <v>85</v>
      </c>
      <c r="I26" s="7">
        <f>IF(G26="Total",TBL_CUOTAS[[#This Row],[MONTO_CUOTA]],IF(G26="Parcial",IF(H26="",0,H26),0))</f>
        <v>28750</v>
      </c>
      <c r="J26" s="7" t="b">
        <f t="shared" ca="1" si="0"/>
        <v>0</v>
      </c>
      <c r="K26" s="10">
        <f ca="1">IF(TBL_CUOTAS[[#This Row],[CUOTA_ATRASADA]],1,0)</f>
        <v>0</v>
      </c>
      <c r="L26" s="7">
        <f ca="1">IF(TBL_CUOTAS[[#This Row],[CUOTA_ATRASADA]],TBL_CUOTAS[[#This Row],[MONTO_CUOTA]]-IF(TBL_CUOTAS[[#This Row],[MONTO_PAGADO]]="",0,TBL_CUOTAS[[#This Row],[MONTO_PAGADO]]),0)</f>
        <v>0</v>
      </c>
    </row>
    <row r="27" spans="1:12" x14ac:dyDescent="0.25">
      <c r="A27" s="6">
        <v>96</v>
      </c>
      <c r="B27" s="6">
        <v>2</v>
      </c>
      <c r="C27" s="8" t="s">
        <v>16</v>
      </c>
      <c r="D27" s="8" t="s">
        <v>126</v>
      </c>
      <c r="E27" s="4">
        <v>45989</v>
      </c>
      <c r="F27" s="7">
        <v>28750</v>
      </c>
      <c r="G27" t="s">
        <v>85</v>
      </c>
      <c r="I27" s="7">
        <f>IF(G27="Total",TBL_CUOTAS[[#This Row],[MONTO_CUOTA]],IF(G27="Parcial",IF(H27="",0,H27),0))</f>
        <v>28750</v>
      </c>
      <c r="J27" s="7" t="b">
        <f t="shared" ca="1" si="0"/>
        <v>0</v>
      </c>
      <c r="K27" s="10">
        <f ca="1">IF(TBL_CUOTAS[[#This Row],[CUOTA_ATRASADA]],1,0)</f>
        <v>0</v>
      </c>
      <c r="L27" s="7">
        <f ca="1">IF(TBL_CUOTAS[[#This Row],[CUOTA_ATRASADA]],TBL_CUOTAS[[#This Row],[MONTO_CUOTA]]-IF(TBL_CUOTAS[[#This Row],[MONTO_PAGADO]]="",0,TBL_CUOTAS[[#This Row],[MONTO_PAGADO]]),0)</f>
        <v>0</v>
      </c>
    </row>
    <row r="28" spans="1:12" x14ac:dyDescent="0.25">
      <c r="A28" s="6">
        <v>96</v>
      </c>
      <c r="B28" s="6">
        <v>3</v>
      </c>
      <c r="C28" s="8" t="s">
        <v>16</v>
      </c>
      <c r="D28" s="8" t="s">
        <v>126</v>
      </c>
      <c r="E28" s="4">
        <v>45996</v>
      </c>
      <c r="F28" s="7">
        <v>28750</v>
      </c>
      <c r="G28" t="s">
        <v>85</v>
      </c>
      <c r="I28" s="7">
        <f>IF(G28="Total",TBL_CUOTAS[[#This Row],[MONTO_CUOTA]],IF(G28="Parcial",IF(H28="",0,H28),0))</f>
        <v>28750</v>
      </c>
      <c r="J28" s="7" t="b">
        <f t="shared" ca="1" si="0"/>
        <v>0</v>
      </c>
      <c r="K28" s="10">
        <f ca="1">IF(TBL_CUOTAS[[#This Row],[CUOTA_ATRASADA]],1,0)</f>
        <v>0</v>
      </c>
      <c r="L28" s="7">
        <f ca="1">IF(TBL_CUOTAS[[#This Row],[CUOTA_ATRASADA]],TBL_CUOTAS[[#This Row],[MONTO_CUOTA]]-IF(TBL_CUOTAS[[#This Row],[MONTO_PAGADO]]="",0,TBL_CUOTAS[[#This Row],[MONTO_PAGADO]]),0)</f>
        <v>0</v>
      </c>
    </row>
    <row r="29" spans="1:12" x14ac:dyDescent="0.25">
      <c r="A29" s="6">
        <v>97</v>
      </c>
      <c r="B29" s="6">
        <v>1</v>
      </c>
      <c r="C29" s="8" t="s">
        <v>17</v>
      </c>
      <c r="D29" s="8" t="s">
        <v>126</v>
      </c>
      <c r="E29" s="4">
        <v>45997</v>
      </c>
      <c r="F29" s="7">
        <v>120000</v>
      </c>
      <c r="G29" t="s">
        <v>86</v>
      </c>
      <c r="I29" s="7">
        <f>IF(G29="Total",TBL_CUOTAS[[#This Row],[MONTO_CUOTA]],IF(G29="Parcial",IF(H29="",0,H29),0))</f>
        <v>0</v>
      </c>
      <c r="J29" s="7" t="b">
        <f t="shared" ca="1" si="0"/>
        <v>1</v>
      </c>
      <c r="K29" s="10">
        <f ca="1">IF(TBL_CUOTAS[[#This Row],[CUOTA_ATRASADA]],1,0)</f>
        <v>1</v>
      </c>
      <c r="L29" s="7">
        <f ca="1">IF(TBL_CUOTAS[[#This Row],[CUOTA_ATRASADA]],TBL_CUOTAS[[#This Row],[MONTO_CUOTA]]-IF(TBL_CUOTAS[[#This Row],[MONTO_PAGADO]]="",0,TBL_CUOTAS[[#This Row],[MONTO_PAGADO]]),0)</f>
        <v>120000</v>
      </c>
    </row>
    <row r="30" spans="1:12" x14ac:dyDescent="0.25">
      <c r="A30" s="6">
        <v>100</v>
      </c>
      <c r="B30" s="6">
        <v>1</v>
      </c>
      <c r="C30" s="8" t="s">
        <v>18</v>
      </c>
      <c r="D30" s="8" t="s">
        <v>126</v>
      </c>
      <c r="E30" s="4">
        <v>46001</v>
      </c>
      <c r="F30" s="7">
        <v>120000</v>
      </c>
      <c r="G30" t="s">
        <v>86</v>
      </c>
      <c r="I30" s="7">
        <f>IF(G30="Total",TBL_CUOTAS[[#This Row],[MONTO_CUOTA]],IF(G30="Parcial",IF(H30="",0,H30),0))</f>
        <v>0</v>
      </c>
      <c r="J30" s="7" t="b">
        <f t="shared" ca="1" si="0"/>
        <v>1</v>
      </c>
      <c r="K30" s="10">
        <f ca="1">IF(TBL_CUOTAS[[#This Row],[CUOTA_ATRASADA]],1,0)</f>
        <v>1</v>
      </c>
      <c r="L30" s="7">
        <f ca="1">IF(TBL_CUOTAS[[#This Row],[CUOTA_ATRASADA]],TBL_CUOTAS[[#This Row],[MONTO_CUOTA]]-IF(TBL_CUOTAS[[#This Row],[MONTO_PAGADO]]="",0,TBL_CUOTAS[[#This Row],[MONTO_PAGADO]]),0)</f>
        <v>120000</v>
      </c>
    </row>
    <row r="31" spans="1:12" x14ac:dyDescent="0.25">
      <c r="A31" s="6">
        <v>101</v>
      </c>
      <c r="B31" s="6">
        <v>1</v>
      </c>
      <c r="C31" s="8" t="s">
        <v>19</v>
      </c>
      <c r="D31" s="8" t="s">
        <v>126</v>
      </c>
      <c r="E31" s="4">
        <v>46001</v>
      </c>
      <c r="F31" s="7">
        <v>120000</v>
      </c>
      <c r="G31" t="s">
        <v>86</v>
      </c>
      <c r="I31" s="7">
        <f>IF(G31="Total",TBL_CUOTAS[[#This Row],[MONTO_CUOTA]],IF(G31="Parcial",IF(H31="",0,H31),0))</f>
        <v>0</v>
      </c>
      <c r="J31" s="7" t="b">
        <f t="shared" ca="1" si="0"/>
        <v>1</v>
      </c>
      <c r="K31" s="10">
        <f ca="1">IF(TBL_CUOTAS[[#This Row],[CUOTA_ATRASADA]],1,0)</f>
        <v>1</v>
      </c>
      <c r="L31" s="7">
        <f ca="1">IF(TBL_CUOTAS[[#This Row],[CUOTA_ATRASADA]],TBL_CUOTAS[[#This Row],[MONTO_CUOTA]]-IF(TBL_CUOTAS[[#This Row],[MONTO_PAGADO]]="",0,TBL_CUOTAS[[#This Row],[MONTO_PAGADO]]),0)</f>
        <v>120000</v>
      </c>
    </row>
    <row r="32" spans="1:12" x14ac:dyDescent="0.25">
      <c r="A32" s="6">
        <v>103</v>
      </c>
      <c r="B32" s="6">
        <v>1</v>
      </c>
      <c r="C32" s="8" t="s">
        <v>20</v>
      </c>
      <c r="D32" s="8" t="s">
        <v>126</v>
      </c>
      <c r="E32" s="4">
        <v>45999</v>
      </c>
      <c r="F32" s="7">
        <v>120000</v>
      </c>
      <c r="G32" t="s">
        <v>85</v>
      </c>
      <c r="I32" s="7">
        <f>IF(G32="Total",TBL_CUOTAS[[#This Row],[MONTO_CUOTA]],IF(G32="Parcial",IF(H32="",0,H32),0))</f>
        <v>120000</v>
      </c>
      <c r="J32" s="7" t="b">
        <f t="shared" ca="1" si="0"/>
        <v>0</v>
      </c>
      <c r="K32" s="10">
        <f ca="1">IF(TBL_CUOTAS[[#This Row],[CUOTA_ATRASADA]],1,0)</f>
        <v>0</v>
      </c>
      <c r="L32" s="7">
        <f ca="1">IF(TBL_CUOTAS[[#This Row],[CUOTA_ATRASADA]],TBL_CUOTAS[[#This Row],[MONTO_CUOTA]]-IF(TBL_CUOTAS[[#This Row],[MONTO_PAGADO]]="",0,TBL_CUOTAS[[#This Row],[MONTO_PAGADO]]),0)</f>
        <v>0</v>
      </c>
    </row>
    <row r="33" spans="1:12" x14ac:dyDescent="0.25">
      <c r="A33" s="6">
        <v>105</v>
      </c>
      <c r="B33" s="6">
        <v>1</v>
      </c>
      <c r="C33" s="8" t="s">
        <v>21</v>
      </c>
      <c r="D33" s="8" t="s">
        <v>126</v>
      </c>
      <c r="E33" s="4">
        <v>46002</v>
      </c>
      <c r="F33" s="7">
        <v>180000</v>
      </c>
      <c r="G33" t="s">
        <v>85</v>
      </c>
      <c r="I33" s="7">
        <f>IF(G33="Total",TBL_CUOTAS[[#This Row],[MONTO_CUOTA]],IF(G33="Parcial",IF(H33="",0,H33),0))</f>
        <v>180000</v>
      </c>
      <c r="J33" s="7" t="b">
        <f t="shared" ca="1" si="0"/>
        <v>0</v>
      </c>
      <c r="K33" s="10">
        <f ca="1">IF(TBL_CUOTAS[[#This Row],[CUOTA_ATRASADA]],1,0)</f>
        <v>0</v>
      </c>
      <c r="L33" s="7">
        <f ca="1">IF(TBL_CUOTAS[[#This Row],[CUOTA_ATRASADA]],TBL_CUOTAS[[#This Row],[MONTO_CUOTA]]-IF(TBL_CUOTAS[[#This Row],[MONTO_PAGADO]]="",0,TBL_CUOTAS[[#This Row],[MONTO_PAGADO]]),0)</f>
        <v>0</v>
      </c>
    </row>
    <row r="34" spans="1:12" x14ac:dyDescent="0.25">
      <c r="A34" s="6">
        <v>107</v>
      </c>
      <c r="B34" s="6">
        <v>1</v>
      </c>
      <c r="C34" s="8" t="s">
        <v>22</v>
      </c>
      <c r="D34" s="8" t="s">
        <v>126</v>
      </c>
      <c r="E34" s="4">
        <v>45978</v>
      </c>
      <c r="F34" s="7">
        <v>28750</v>
      </c>
      <c r="G34" t="s">
        <v>85</v>
      </c>
      <c r="I34" s="7">
        <f>IF(G34="Total",TBL_CUOTAS[[#This Row],[MONTO_CUOTA]],IF(G34="Parcial",IF(H34="",0,H34),0))</f>
        <v>28750</v>
      </c>
      <c r="J34" s="7" t="b">
        <f t="shared" ref="J34:J65" ca="1" si="1">AND($G34="Impago",$E34&lt;TODAY())</f>
        <v>0</v>
      </c>
      <c r="K34" s="10">
        <f ca="1">IF(TBL_CUOTAS[[#This Row],[CUOTA_ATRASADA]],1,0)</f>
        <v>0</v>
      </c>
      <c r="L34" s="7">
        <f ca="1">IF(TBL_CUOTAS[[#This Row],[CUOTA_ATRASADA]],TBL_CUOTAS[[#This Row],[MONTO_CUOTA]]-IF(TBL_CUOTAS[[#This Row],[MONTO_PAGADO]]="",0,TBL_CUOTAS[[#This Row],[MONTO_PAGADO]]),0)</f>
        <v>0</v>
      </c>
    </row>
    <row r="35" spans="1:12" x14ac:dyDescent="0.25">
      <c r="A35" s="6">
        <v>107</v>
      </c>
      <c r="B35" s="6">
        <v>2</v>
      </c>
      <c r="C35" s="8" t="s">
        <v>22</v>
      </c>
      <c r="D35" s="8" t="s">
        <v>126</v>
      </c>
      <c r="E35" s="4">
        <v>45985</v>
      </c>
      <c r="F35" s="7">
        <v>28750</v>
      </c>
      <c r="G35" t="s">
        <v>85</v>
      </c>
      <c r="I35" s="7">
        <f>IF(G35="Total",TBL_CUOTAS[[#This Row],[MONTO_CUOTA]],IF(G35="Parcial",IF(H35="",0,H35),0))</f>
        <v>28750</v>
      </c>
      <c r="J35" s="7" t="b">
        <f t="shared" ca="1" si="1"/>
        <v>0</v>
      </c>
      <c r="K35" s="10">
        <f ca="1">IF(TBL_CUOTAS[[#This Row],[CUOTA_ATRASADA]],1,0)</f>
        <v>0</v>
      </c>
      <c r="L35" s="7">
        <f ca="1">IF(TBL_CUOTAS[[#This Row],[CUOTA_ATRASADA]],TBL_CUOTAS[[#This Row],[MONTO_CUOTA]]-IF(TBL_CUOTAS[[#This Row],[MONTO_PAGADO]]="",0,TBL_CUOTAS[[#This Row],[MONTO_PAGADO]]),0)</f>
        <v>0</v>
      </c>
    </row>
    <row r="36" spans="1:12" x14ac:dyDescent="0.25">
      <c r="A36" s="6">
        <v>107</v>
      </c>
      <c r="B36" s="6">
        <v>3</v>
      </c>
      <c r="C36" s="8" t="s">
        <v>22</v>
      </c>
      <c r="D36" s="8" t="s">
        <v>126</v>
      </c>
      <c r="E36" s="4">
        <v>45992</v>
      </c>
      <c r="F36" s="7">
        <v>28750</v>
      </c>
      <c r="G36" t="s">
        <v>85</v>
      </c>
      <c r="I36" s="7">
        <f>IF(G36="Total",TBL_CUOTAS[[#This Row],[MONTO_CUOTA]],IF(G36="Parcial",IF(H36="",0,H36),0))</f>
        <v>28750</v>
      </c>
      <c r="J36" s="7" t="b">
        <f t="shared" ca="1" si="1"/>
        <v>0</v>
      </c>
      <c r="K36" s="10">
        <f ca="1">IF(TBL_CUOTAS[[#This Row],[CUOTA_ATRASADA]],1,0)</f>
        <v>0</v>
      </c>
      <c r="L36" s="7">
        <f ca="1">IF(TBL_CUOTAS[[#This Row],[CUOTA_ATRASADA]],TBL_CUOTAS[[#This Row],[MONTO_CUOTA]]-IF(TBL_CUOTAS[[#This Row],[MONTO_PAGADO]]="",0,TBL_CUOTAS[[#This Row],[MONTO_PAGADO]]),0)</f>
        <v>0</v>
      </c>
    </row>
    <row r="37" spans="1:12" x14ac:dyDescent="0.25">
      <c r="A37" s="6">
        <v>107</v>
      </c>
      <c r="B37" s="6">
        <v>4</v>
      </c>
      <c r="C37" s="8" t="s">
        <v>22</v>
      </c>
      <c r="D37" s="8" t="s">
        <v>126</v>
      </c>
      <c r="E37" s="4">
        <v>45999</v>
      </c>
      <c r="F37" s="7">
        <v>28750</v>
      </c>
      <c r="G37" t="s">
        <v>85</v>
      </c>
      <c r="I37" s="7">
        <f>IF(G37="Total",TBL_CUOTAS[[#This Row],[MONTO_CUOTA]],IF(G37="Parcial",IF(H37="",0,H37),0))</f>
        <v>28750</v>
      </c>
      <c r="J37" s="7" t="b">
        <f t="shared" ca="1" si="1"/>
        <v>0</v>
      </c>
      <c r="K37" s="10">
        <f ca="1">IF(TBL_CUOTAS[[#This Row],[CUOTA_ATRASADA]],1,0)</f>
        <v>0</v>
      </c>
      <c r="L37" s="7">
        <f ca="1">IF(TBL_CUOTAS[[#This Row],[CUOTA_ATRASADA]],TBL_CUOTAS[[#This Row],[MONTO_CUOTA]]-IF(TBL_CUOTAS[[#This Row],[MONTO_PAGADO]]="",0,TBL_CUOTAS[[#This Row],[MONTO_PAGADO]]),0)</f>
        <v>0</v>
      </c>
    </row>
    <row r="38" spans="1:12" x14ac:dyDescent="0.25">
      <c r="A38" s="6">
        <v>108</v>
      </c>
      <c r="B38" s="6">
        <v>1</v>
      </c>
      <c r="C38" s="8" t="s">
        <v>23</v>
      </c>
      <c r="D38" s="8" t="s">
        <v>126</v>
      </c>
      <c r="E38" s="4">
        <v>45978</v>
      </c>
      <c r="F38" s="7">
        <v>28750</v>
      </c>
      <c r="G38" t="s">
        <v>85</v>
      </c>
      <c r="I38" s="7">
        <f>IF(G38="Total",TBL_CUOTAS[[#This Row],[MONTO_CUOTA]],IF(G38="Parcial",IF(H38="",0,H38),0))</f>
        <v>28750</v>
      </c>
      <c r="J38" s="7" t="b">
        <f t="shared" ca="1" si="1"/>
        <v>0</v>
      </c>
      <c r="K38" s="10">
        <f ca="1">IF(TBL_CUOTAS[[#This Row],[CUOTA_ATRASADA]],1,0)</f>
        <v>0</v>
      </c>
      <c r="L38" s="7">
        <f ca="1">IF(TBL_CUOTAS[[#This Row],[CUOTA_ATRASADA]],TBL_CUOTAS[[#This Row],[MONTO_CUOTA]]-IF(TBL_CUOTAS[[#This Row],[MONTO_PAGADO]]="",0,TBL_CUOTAS[[#This Row],[MONTO_PAGADO]]),0)</f>
        <v>0</v>
      </c>
    </row>
    <row r="39" spans="1:12" x14ac:dyDescent="0.25">
      <c r="A39" s="6">
        <v>108</v>
      </c>
      <c r="B39" s="6">
        <v>2</v>
      </c>
      <c r="C39" s="8" t="s">
        <v>23</v>
      </c>
      <c r="D39" s="8" t="s">
        <v>126</v>
      </c>
      <c r="E39" s="4">
        <v>45985</v>
      </c>
      <c r="F39" s="7">
        <v>28750</v>
      </c>
      <c r="G39" t="s">
        <v>85</v>
      </c>
      <c r="I39" s="7">
        <f>IF(G39="Total",TBL_CUOTAS[[#This Row],[MONTO_CUOTA]],IF(G39="Parcial",IF(H39="",0,H39),0))</f>
        <v>28750</v>
      </c>
      <c r="J39" s="7" t="b">
        <f t="shared" ca="1" si="1"/>
        <v>0</v>
      </c>
      <c r="K39" s="10">
        <f ca="1">IF(TBL_CUOTAS[[#This Row],[CUOTA_ATRASADA]],1,0)</f>
        <v>0</v>
      </c>
      <c r="L39" s="7">
        <f ca="1">IF(TBL_CUOTAS[[#This Row],[CUOTA_ATRASADA]],TBL_CUOTAS[[#This Row],[MONTO_CUOTA]]-IF(TBL_CUOTAS[[#This Row],[MONTO_PAGADO]]="",0,TBL_CUOTAS[[#This Row],[MONTO_PAGADO]]),0)</f>
        <v>0</v>
      </c>
    </row>
    <row r="40" spans="1:12" x14ac:dyDescent="0.25">
      <c r="A40" s="6">
        <v>108</v>
      </c>
      <c r="B40" s="6">
        <v>3</v>
      </c>
      <c r="C40" s="8" t="s">
        <v>23</v>
      </c>
      <c r="D40" s="8" t="s">
        <v>126</v>
      </c>
      <c r="E40" s="4">
        <v>45992</v>
      </c>
      <c r="F40" s="7">
        <v>28750</v>
      </c>
      <c r="G40" t="s">
        <v>85</v>
      </c>
      <c r="I40" s="7">
        <f>IF(G40="Total",TBL_CUOTAS[[#This Row],[MONTO_CUOTA]],IF(G40="Parcial",IF(H40="",0,H40),0))</f>
        <v>28750</v>
      </c>
      <c r="J40" s="7" t="b">
        <f t="shared" ca="1" si="1"/>
        <v>0</v>
      </c>
      <c r="K40" s="10">
        <f ca="1">IF(TBL_CUOTAS[[#This Row],[CUOTA_ATRASADA]],1,0)</f>
        <v>0</v>
      </c>
      <c r="L40" s="7">
        <f ca="1">IF(TBL_CUOTAS[[#This Row],[CUOTA_ATRASADA]],TBL_CUOTAS[[#This Row],[MONTO_CUOTA]]-IF(TBL_CUOTAS[[#This Row],[MONTO_PAGADO]]="",0,TBL_CUOTAS[[#This Row],[MONTO_PAGADO]]),0)</f>
        <v>0</v>
      </c>
    </row>
    <row r="41" spans="1:12" x14ac:dyDescent="0.25">
      <c r="A41" s="6">
        <v>108</v>
      </c>
      <c r="B41" s="6">
        <v>4</v>
      </c>
      <c r="C41" s="8" t="s">
        <v>23</v>
      </c>
      <c r="D41" s="8" t="s">
        <v>126</v>
      </c>
      <c r="E41" s="4">
        <v>45999</v>
      </c>
      <c r="F41" s="7">
        <v>28750</v>
      </c>
      <c r="G41" t="s">
        <v>86</v>
      </c>
      <c r="I41" s="7">
        <f>IF(G41="Total",TBL_CUOTAS[[#This Row],[MONTO_CUOTA]],IF(G41="Parcial",IF(H41="",0,H41),0))</f>
        <v>0</v>
      </c>
      <c r="J41" s="7" t="b">
        <f t="shared" ca="1" si="1"/>
        <v>1</v>
      </c>
      <c r="K41" s="10">
        <f ca="1">IF(TBL_CUOTAS[[#This Row],[CUOTA_ATRASADA]],1,0)</f>
        <v>1</v>
      </c>
      <c r="L41" s="7">
        <f ca="1">IF(TBL_CUOTAS[[#This Row],[CUOTA_ATRASADA]],TBL_CUOTAS[[#This Row],[MONTO_CUOTA]]-IF(TBL_CUOTAS[[#This Row],[MONTO_PAGADO]]="",0,TBL_CUOTAS[[#This Row],[MONTO_PAGADO]]),0)</f>
        <v>28750</v>
      </c>
    </row>
    <row r="42" spans="1:12" x14ac:dyDescent="0.25">
      <c r="A42" s="6">
        <v>109</v>
      </c>
      <c r="B42" s="6">
        <v>1</v>
      </c>
      <c r="C42" s="8" t="s">
        <v>24</v>
      </c>
      <c r="D42" s="8" t="s">
        <v>126</v>
      </c>
      <c r="E42" s="4">
        <v>46006</v>
      </c>
      <c r="F42" s="7">
        <v>266666.6667</v>
      </c>
      <c r="G42" t="s">
        <v>86</v>
      </c>
      <c r="I42" s="7">
        <f>IF(G42="Total",TBL_CUOTAS[[#This Row],[MONTO_CUOTA]],IF(G42="Parcial",IF(H42="",0,H42),0))</f>
        <v>0</v>
      </c>
      <c r="J42" s="7" t="b">
        <f t="shared" ca="1" si="1"/>
        <v>0</v>
      </c>
      <c r="K42" s="10">
        <f ca="1">IF(TBL_CUOTAS[[#This Row],[CUOTA_ATRASADA]],1,0)</f>
        <v>0</v>
      </c>
      <c r="L42" s="7">
        <f ca="1">IF(TBL_CUOTAS[[#This Row],[CUOTA_ATRASADA]],TBL_CUOTAS[[#This Row],[MONTO_CUOTA]]-IF(TBL_CUOTAS[[#This Row],[MONTO_PAGADO]]="",0,TBL_CUOTAS[[#This Row],[MONTO_PAGADO]]),0)</f>
        <v>0</v>
      </c>
    </row>
    <row r="43" spans="1:12" x14ac:dyDescent="0.25">
      <c r="A43" s="6">
        <v>109</v>
      </c>
      <c r="B43" s="6">
        <v>2</v>
      </c>
      <c r="C43" s="8" t="s">
        <v>24</v>
      </c>
      <c r="D43" s="8" t="s">
        <v>126</v>
      </c>
      <c r="E43" s="4">
        <v>46037</v>
      </c>
      <c r="F43" s="7">
        <v>266666.6667</v>
      </c>
      <c r="G43" t="s">
        <v>86</v>
      </c>
      <c r="I43" s="7">
        <f>IF(G43="Total",TBL_CUOTAS[[#This Row],[MONTO_CUOTA]],IF(G43="Parcial",IF(H43="",0,H43),0))</f>
        <v>0</v>
      </c>
      <c r="J43" s="7" t="b">
        <f t="shared" ca="1" si="1"/>
        <v>0</v>
      </c>
      <c r="K43" s="10">
        <f ca="1">IF(TBL_CUOTAS[[#This Row],[CUOTA_ATRASADA]],1,0)</f>
        <v>0</v>
      </c>
      <c r="L43" s="7">
        <f ca="1">IF(TBL_CUOTAS[[#This Row],[CUOTA_ATRASADA]],TBL_CUOTAS[[#This Row],[MONTO_CUOTA]]-IF(TBL_CUOTAS[[#This Row],[MONTO_PAGADO]]="",0,TBL_CUOTAS[[#This Row],[MONTO_PAGADO]]),0)</f>
        <v>0</v>
      </c>
    </row>
    <row r="44" spans="1:12" x14ac:dyDescent="0.25">
      <c r="A44" s="6">
        <v>109</v>
      </c>
      <c r="B44" s="6">
        <v>3</v>
      </c>
      <c r="C44" s="8" t="s">
        <v>24</v>
      </c>
      <c r="D44" s="8" t="s">
        <v>126</v>
      </c>
      <c r="E44" s="4">
        <v>46068</v>
      </c>
      <c r="F44" s="7">
        <v>266666.6667</v>
      </c>
      <c r="G44" t="s">
        <v>86</v>
      </c>
      <c r="I44" s="7">
        <f>IF(G44="Total",TBL_CUOTAS[[#This Row],[MONTO_CUOTA]],IF(G44="Parcial",IF(H44="",0,H44),0))</f>
        <v>0</v>
      </c>
      <c r="J44" s="7" t="b">
        <f t="shared" ca="1" si="1"/>
        <v>0</v>
      </c>
      <c r="K44" s="10">
        <f ca="1">IF(TBL_CUOTAS[[#This Row],[CUOTA_ATRASADA]],1,0)</f>
        <v>0</v>
      </c>
      <c r="L44" s="7">
        <f ca="1">IF(TBL_CUOTAS[[#This Row],[CUOTA_ATRASADA]],TBL_CUOTAS[[#This Row],[MONTO_CUOTA]]-IF(TBL_CUOTAS[[#This Row],[MONTO_PAGADO]]="",0,TBL_CUOTAS[[#This Row],[MONTO_PAGADO]]),0)</f>
        <v>0</v>
      </c>
    </row>
    <row r="45" spans="1:12" x14ac:dyDescent="0.25">
      <c r="A45" s="6">
        <v>111</v>
      </c>
      <c r="B45" s="6">
        <v>1</v>
      </c>
      <c r="C45" s="8" t="s">
        <v>25</v>
      </c>
      <c r="D45" s="8" t="s">
        <v>126</v>
      </c>
      <c r="E45" s="4">
        <v>46003</v>
      </c>
      <c r="F45" s="7">
        <v>120000</v>
      </c>
      <c r="G45" t="s">
        <v>86</v>
      </c>
      <c r="I45" s="7">
        <f>IF(G45="Total",TBL_CUOTAS[[#This Row],[MONTO_CUOTA]],IF(G45="Parcial",IF(H45="",0,H45),0))</f>
        <v>0</v>
      </c>
      <c r="J45" s="7" t="b">
        <f t="shared" ca="1" si="1"/>
        <v>0</v>
      </c>
      <c r="K45" s="10">
        <f ca="1">IF(TBL_CUOTAS[[#This Row],[CUOTA_ATRASADA]],1,0)</f>
        <v>0</v>
      </c>
      <c r="L45" s="7">
        <f ca="1">IF(TBL_CUOTAS[[#This Row],[CUOTA_ATRASADA]],TBL_CUOTAS[[#This Row],[MONTO_CUOTA]]-IF(TBL_CUOTAS[[#This Row],[MONTO_PAGADO]]="",0,TBL_CUOTAS[[#This Row],[MONTO_PAGADO]]),0)</f>
        <v>0</v>
      </c>
    </row>
    <row r="46" spans="1:12" x14ac:dyDescent="0.25">
      <c r="A46" s="6">
        <v>112</v>
      </c>
      <c r="B46" s="6">
        <v>1</v>
      </c>
      <c r="C46" s="8" t="s">
        <v>26</v>
      </c>
      <c r="D46" s="8" t="s">
        <v>126</v>
      </c>
      <c r="E46" s="4">
        <v>45982</v>
      </c>
      <c r="F46" s="7">
        <v>143750</v>
      </c>
      <c r="G46" t="s">
        <v>85</v>
      </c>
      <c r="I46" s="7">
        <f>IF(G46="Total",TBL_CUOTAS[[#This Row],[MONTO_CUOTA]],IF(G46="Parcial",IF(H46="",0,H46),0))</f>
        <v>143750</v>
      </c>
      <c r="J46" s="7" t="b">
        <f t="shared" ca="1" si="1"/>
        <v>0</v>
      </c>
      <c r="K46" s="10">
        <f ca="1">IF(TBL_CUOTAS[[#This Row],[CUOTA_ATRASADA]],1,0)</f>
        <v>0</v>
      </c>
      <c r="L46" s="7">
        <f ca="1">IF(TBL_CUOTAS[[#This Row],[CUOTA_ATRASADA]],TBL_CUOTAS[[#This Row],[MONTO_CUOTA]]-IF(TBL_CUOTAS[[#This Row],[MONTO_PAGADO]]="",0,TBL_CUOTAS[[#This Row],[MONTO_PAGADO]]),0)</f>
        <v>0</v>
      </c>
    </row>
    <row r="47" spans="1:12" x14ac:dyDescent="0.25">
      <c r="A47" s="6">
        <v>112</v>
      </c>
      <c r="B47" s="6">
        <v>2</v>
      </c>
      <c r="C47" s="8" t="s">
        <v>26</v>
      </c>
      <c r="D47" s="8" t="s">
        <v>126</v>
      </c>
      <c r="E47" s="4">
        <v>45989</v>
      </c>
      <c r="F47" s="7">
        <v>143750</v>
      </c>
      <c r="G47" t="s">
        <v>85</v>
      </c>
      <c r="I47" s="7">
        <f>IF(G47="Total",TBL_CUOTAS[[#This Row],[MONTO_CUOTA]],IF(G47="Parcial",IF(H47="",0,H47),0))</f>
        <v>143750</v>
      </c>
      <c r="J47" s="7" t="b">
        <f t="shared" ca="1" si="1"/>
        <v>0</v>
      </c>
      <c r="K47" s="10">
        <f ca="1">IF(TBL_CUOTAS[[#This Row],[CUOTA_ATRASADA]],1,0)</f>
        <v>0</v>
      </c>
      <c r="L47" s="7">
        <f ca="1">IF(TBL_CUOTAS[[#This Row],[CUOTA_ATRASADA]],TBL_CUOTAS[[#This Row],[MONTO_CUOTA]]-IF(TBL_CUOTAS[[#This Row],[MONTO_PAGADO]]="",0,TBL_CUOTAS[[#This Row],[MONTO_PAGADO]]),0)</f>
        <v>0</v>
      </c>
    </row>
    <row r="48" spans="1:12" x14ac:dyDescent="0.25">
      <c r="A48" s="6">
        <v>112</v>
      </c>
      <c r="B48" s="6">
        <v>3</v>
      </c>
      <c r="C48" s="8" t="s">
        <v>26</v>
      </c>
      <c r="D48" s="8" t="s">
        <v>126</v>
      </c>
      <c r="E48" s="4">
        <v>45996</v>
      </c>
      <c r="F48" s="7">
        <v>143750</v>
      </c>
      <c r="G48" t="s">
        <v>85</v>
      </c>
      <c r="I48" s="7">
        <f>IF(G48="Total",TBL_CUOTAS[[#This Row],[MONTO_CUOTA]],IF(G48="Parcial",IF(H48="",0,H48),0))</f>
        <v>143750</v>
      </c>
      <c r="J48" s="7" t="b">
        <f t="shared" ca="1" si="1"/>
        <v>0</v>
      </c>
      <c r="K48" s="10">
        <f ca="1">IF(TBL_CUOTAS[[#This Row],[CUOTA_ATRASADA]],1,0)</f>
        <v>0</v>
      </c>
      <c r="L48" s="7">
        <f ca="1">IF(TBL_CUOTAS[[#This Row],[CUOTA_ATRASADA]],TBL_CUOTAS[[#This Row],[MONTO_CUOTA]]-IF(TBL_CUOTAS[[#This Row],[MONTO_PAGADO]]="",0,TBL_CUOTAS[[#This Row],[MONTO_PAGADO]]),0)</f>
        <v>0</v>
      </c>
    </row>
    <row r="49" spans="1:12" x14ac:dyDescent="0.25">
      <c r="A49" s="6">
        <v>112</v>
      </c>
      <c r="B49" s="6">
        <v>4</v>
      </c>
      <c r="C49" s="8" t="s">
        <v>26</v>
      </c>
      <c r="D49" s="8" t="s">
        <v>126</v>
      </c>
      <c r="E49" s="4">
        <v>46003</v>
      </c>
      <c r="F49" s="7">
        <v>143750</v>
      </c>
      <c r="G49" t="s">
        <v>86</v>
      </c>
      <c r="I49" s="7">
        <f>IF(G49="Total",TBL_CUOTAS[[#This Row],[MONTO_CUOTA]],IF(G49="Parcial",IF(H49="",0,H49),0))</f>
        <v>0</v>
      </c>
      <c r="J49" s="7" t="b">
        <f t="shared" ca="1" si="1"/>
        <v>0</v>
      </c>
      <c r="K49" s="10">
        <f ca="1">IF(TBL_CUOTAS[[#This Row],[CUOTA_ATRASADA]],1,0)</f>
        <v>0</v>
      </c>
      <c r="L49" s="7">
        <f ca="1">IF(TBL_CUOTAS[[#This Row],[CUOTA_ATRASADA]],TBL_CUOTAS[[#This Row],[MONTO_CUOTA]]-IF(TBL_CUOTAS[[#This Row],[MONTO_PAGADO]]="",0,TBL_CUOTAS[[#This Row],[MONTO_PAGADO]]),0)</f>
        <v>0</v>
      </c>
    </row>
    <row r="50" spans="1:12" x14ac:dyDescent="0.25">
      <c r="A50" s="6">
        <v>114</v>
      </c>
      <c r="B50" s="6">
        <v>1</v>
      </c>
      <c r="C50" s="8" t="s">
        <v>27</v>
      </c>
      <c r="D50" s="8" t="s">
        <v>126</v>
      </c>
      <c r="E50" s="4">
        <v>46004</v>
      </c>
      <c r="F50" s="7">
        <v>120000</v>
      </c>
      <c r="G50" t="s">
        <v>86</v>
      </c>
      <c r="I50" s="7">
        <f>IF(G50="Total",TBL_CUOTAS[[#This Row],[MONTO_CUOTA]],IF(G50="Parcial",IF(H50="",0,H50),0))</f>
        <v>0</v>
      </c>
      <c r="J50" s="7" t="b">
        <f t="shared" ca="1" si="1"/>
        <v>0</v>
      </c>
      <c r="K50" s="10">
        <f ca="1">IF(TBL_CUOTAS[[#This Row],[CUOTA_ATRASADA]],1,0)</f>
        <v>0</v>
      </c>
      <c r="L50" s="7">
        <f ca="1">IF(TBL_CUOTAS[[#This Row],[CUOTA_ATRASADA]],TBL_CUOTAS[[#This Row],[MONTO_CUOTA]]-IF(TBL_CUOTAS[[#This Row],[MONTO_PAGADO]]="",0,TBL_CUOTAS[[#This Row],[MONTO_PAGADO]]),0)</f>
        <v>0</v>
      </c>
    </row>
    <row r="51" spans="1:12" x14ac:dyDescent="0.25">
      <c r="A51" s="6">
        <v>116</v>
      </c>
      <c r="B51" s="6">
        <v>1</v>
      </c>
      <c r="C51" s="8" t="s">
        <v>28</v>
      </c>
      <c r="D51" s="8" t="s">
        <v>126</v>
      </c>
      <c r="E51" s="4">
        <v>46012</v>
      </c>
      <c r="F51" s="7">
        <v>40250</v>
      </c>
      <c r="G51" t="s">
        <v>85</v>
      </c>
      <c r="I51" s="7">
        <f>IF(G51="Total",TBL_CUOTAS[[#This Row],[MONTO_CUOTA]],IF(G51="Parcial",IF(H51="",0,H51),0))</f>
        <v>40250</v>
      </c>
      <c r="J51" s="7" t="b">
        <f t="shared" ca="1" si="1"/>
        <v>0</v>
      </c>
      <c r="K51" s="10">
        <f ca="1">IF(TBL_CUOTAS[[#This Row],[CUOTA_ATRASADA]],1,0)</f>
        <v>0</v>
      </c>
      <c r="L51" s="7">
        <f ca="1">IF(TBL_CUOTAS[[#This Row],[CUOTA_ATRASADA]],TBL_CUOTAS[[#This Row],[MONTO_CUOTA]]-IF(TBL_CUOTAS[[#This Row],[MONTO_PAGADO]]="",0,TBL_CUOTAS[[#This Row],[MONTO_PAGADO]]),0)</f>
        <v>0</v>
      </c>
    </row>
    <row r="52" spans="1:12" x14ac:dyDescent="0.25">
      <c r="A52" s="6">
        <v>116</v>
      </c>
      <c r="B52" s="6">
        <v>2</v>
      </c>
      <c r="C52" s="8" t="s">
        <v>28</v>
      </c>
      <c r="D52" s="8" t="s">
        <v>126</v>
      </c>
      <c r="E52" s="4">
        <v>46019</v>
      </c>
      <c r="F52" s="7">
        <v>40250</v>
      </c>
      <c r="G52" t="s">
        <v>85</v>
      </c>
      <c r="I52" s="7">
        <f>IF(G52="Total",TBL_CUOTAS[[#This Row],[MONTO_CUOTA]],IF(G52="Parcial",IF(H52="",0,H52),0))</f>
        <v>40250</v>
      </c>
      <c r="J52" s="7" t="b">
        <f t="shared" ca="1" si="1"/>
        <v>0</v>
      </c>
      <c r="K52" s="10">
        <f ca="1">IF(TBL_CUOTAS[[#This Row],[CUOTA_ATRASADA]],1,0)</f>
        <v>0</v>
      </c>
      <c r="L52" s="7">
        <f ca="1">IF(TBL_CUOTAS[[#This Row],[CUOTA_ATRASADA]],TBL_CUOTAS[[#This Row],[MONTO_CUOTA]]-IF(TBL_CUOTAS[[#This Row],[MONTO_PAGADO]]="",0,TBL_CUOTAS[[#This Row],[MONTO_PAGADO]]),0)</f>
        <v>0</v>
      </c>
    </row>
    <row r="53" spans="1:12" x14ac:dyDescent="0.25">
      <c r="A53" s="6">
        <v>116</v>
      </c>
      <c r="B53" s="6">
        <v>3</v>
      </c>
      <c r="C53" s="8" t="s">
        <v>28</v>
      </c>
      <c r="D53" s="8" t="s">
        <v>126</v>
      </c>
      <c r="E53" s="4">
        <v>46026</v>
      </c>
      <c r="F53" s="7">
        <v>40250</v>
      </c>
      <c r="G53" t="s">
        <v>86</v>
      </c>
      <c r="I53" s="7">
        <f>IF(G53="Total",TBL_CUOTAS[[#This Row],[MONTO_CUOTA]],IF(G53="Parcial",IF(H53="",0,H53),0))</f>
        <v>0</v>
      </c>
      <c r="J53" s="7" t="b">
        <f t="shared" ca="1" si="1"/>
        <v>0</v>
      </c>
      <c r="K53" s="10">
        <f ca="1">IF(TBL_CUOTAS[[#This Row],[CUOTA_ATRASADA]],1,0)</f>
        <v>0</v>
      </c>
      <c r="L53" s="7">
        <f ca="1">IF(TBL_CUOTAS[[#This Row],[CUOTA_ATRASADA]],TBL_CUOTAS[[#This Row],[MONTO_CUOTA]]-IF(TBL_CUOTAS[[#This Row],[MONTO_PAGADO]]="",0,TBL_CUOTAS[[#This Row],[MONTO_PAGADO]]),0)</f>
        <v>0</v>
      </c>
    </row>
    <row r="54" spans="1:12" x14ac:dyDescent="0.25">
      <c r="A54" s="6">
        <v>116</v>
      </c>
      <c r="B54" s="6">
        <v>4</v>
      </c>
      <c r="C54" s="8" t="s">
        <v>28</v>
      </c>
      <c r="D54" s="8" t="s">
        <v>126</v>
      </c>
      <c r="E54" s="4">
        <v>46033</v>
      </c>
      <c r="F54" s="7">
        <v>40250</v>
      </c>
      <c r="G54" t="s">
        <v>86</v>
      </c>
      <c r="I54" s="7">
        <f>IF(G54="Total",TBL_CUOTAS[[#This Row],[MONTO_CUOTA]],IF(G54="Parcial",IF(H54="",0,H54),0))</f>
        <v>0</v>
      </c>
      <c r="J54" s="7" t="b">
        <f t="shared" ca="1" si="1"/>
        <v>0</v>
      </c>
      <c r="K54" s="10">
        <f ca="1">IF(TBL_CUOTAS[[#This Row],[CUOTA_ATRASADA]],1,0)</f>
        <v>0</v>
      </c>
      <c r="L54" s="7">
        <f ca="1">IF(TBL_CUOTAS[[#This Row],[CUOTA_ATRASADA]],TBL_CUOTAS[[#This Row],[MONTO_CUOTA]]-IF(TBL_CUOTAS[[#This Row],[MONTO_PAGADO]]="",0,TBL_CUOTAS[[#This Row],[MONTO_PAGADO]]),0)</f>
        <v>0</v>
      </c>
    </row>
    <row r="55" spans="1:12" x14ac:dyDescent="0.25">
      <c r="A55" s="6">
        <v>117</v>
      </c>
      <c r="B55" s="6">
        <v>1</v>
      </c>
      <c r="C55" s="8" t="s">
        <v>29</v>
      </c>
      <c r="D55" s="8" t="s">
        <v>126</v>
      </c>
      <c r="E55" s="4">
        <v>46005</v>
      </c>
      <c r="F55" s="7">
        <v>120000</v>
      </c>
      <c r="G55" t="s">
        <v>86</v>
      </c>
      <c r="I55" s="7">
        <f>IF(G55="Total",TBL_CUOTAS[[#This Row],[MONTO_CUOTA]],IF(G55="Parcial",IF(H55="",0,H55),0))</f>
        <v>0</v>
      </c>
      <c r="J55" s="7" t="b">
        <f t="shared" ca="1" si="1"/>
        <v>0</v>
      </c>
      <c r="K55" s="10">
        <f ca="1">IF(TBL_CUOTAS[[#This Row],[CUOTA_ATRASADA]],1,0)</f>
        <v>0</v>
      </c>
      <c r="L55" s="7">
        <f ca="1">IF(TBL_CUOTAS[[#This Row],[CUOTA_ATRASADA]],TBL_CUOTAS[[#This Row],[MONTO_CUOTA]]-IF(TBL_CUOTAS[[#This Row],[MONTO_PAGADO]]="",0,TBL_CUOTAS[[#This Row],[MONTO_PAGADO]]),0)</f>
        <v>0</v>
      </c>
    </row>
    <row r="56" spans="1:12" x14ac:dyDescent="0.25">
      <c r="A56" s="6">
        <v>118</v>
      </c>
      <c r="B56" s="6">
        <v>1</v>
      </c>
      <c r="C56" s="8" t="s">
        <v>30</v>
      </c>
      <c r="D56" s="8" t="s">
        <v>127</v>
      </c>
      <c r="E56" s="4">
        <v>46008</v>
      </c>
      <c r="F56" s="7">
        <v>230000</v>
      </c>
      <c r="G56" t="s">
        <v>86</v>
      </c>
      <c r="I56" s="7">
        <f>IF(G56="Total",TBL_CUOTAS[[#This Row],[MONTO_CUOTA]],IF(G56="Parcial",IF(H56="",0,H56),0))</f>
        <v>0</v>
      </c>
      <c r="J56" s="7" t="b">
        <f t="shared" ca="1" si="1"/>
        <v>0</v>
      </c>
      <c r="K56" s="10">
        <f ca="1">IF(TBL_CUOTAS[[#This Row],[CUOTA_ATRASADA]],1,0)</f>
        <v>0</v>
      </c>
      <c r="L56" s="7">
        <f ca="1">IF(TBL_CUOTAS[[#This Row],[CUOTA_ATRASADA]],TBL_CUOTAS[[#This Row],[MONTO_CUOTA]]-IF(TBL_CUOTAS[[#This Row],[MONTO_PAGADO]]="",0,TBL_CUOTAS[[#This Row],[MONTO_PAGADO]]),0)</f>
        <v>0</v>
      </c>
    </row>
    <row r="57" spans="1:12" x14ac:dyDescent="0.25">
      <c r="A57" s="6">
        <v>119</v>
      </c>
      <c r="B57" s="6">
        <v>1</v>
      </c>
      <c r="C57" s="8" t="s">
        <v>31</v>
      </c>
      <c r="D57" s="8" t="s">
        <v>126</v>
      </c>
      <c r="E57" s="4">
        <v>45985</v>
      </c>
      <c r="F57" s="7">
        <v>57500</v>
      </c>
      <c r="G57" t="s">
        <v>85</v>
      </c>
      <c r="I57" s="7">
        <f>IF(G57="Total",TBL_CUOTAS[[#This Row],[MONTO_CUOTA]],IF(G57="Parcial",IF(H57="",0,H57),0))</f>
        <v>57500</v>
      </c>
      <c r="J57" s="7" t="b">
        <f t="shared" ca="1" si="1"/>
        <v>0</v>
      </c>
      <c r="K57" s="10">
        <f ca="1">IF(TBL_CUOTAS[[#This Row],[CUOTA_ATRASADA]],1,0)</f>
        <v>0</v>
      </c>
      <c r="L57" s="7">
        <f ca="1">IF(TBL_CUOTAS[[#This Row],[CUOTA_ATRASADA]],TBL_CUOTAS[[#This Row],[MONTO_CUOTA]]-IF(TBL_CUOTAS[[#This Row],[MONTO_PAGADO]]="",0,TBL_CUOTAS[[#This Row],[MONTO_PAGADO]]),0)</f>
        <v>0</v>
      </c>
    </row>
    <row r="58" spans="1:12" x14ac:dyDescent="0.25">
      <c r="A58" s="6">
        <v>119</v>
      </c>
      <c r="B58" s="6">
        <v>2</v>
      </c>
      <c r="C58" s="8" t="s">
        <v>31</v>
      </c>
      <c r="D58" s="8" t="s">
        <v>126</v>
      </c>
      <c r="E58" s="4">
        <v>45992</v>
      </c>
      <c r="F58" s="7">
        <v>57500</v>
      </c>
      <c r="G58" t="s">
        <v>85</v>
      </c>
      <c r="I58" s="7">
        <f>IF(G58="Total",TBL_CUOTAS[[#This Row],[MONTO_CUOTA]],IF(G58="Parcial",IF(H58="",0,H58),0))</f>
        <v>57500</v>
      </c>
      <c r="J58" s="7" t="b">
        <f t="shared" ca="1" si="1"/>
        <v>0</v>
      </c>
      <c r="K58" s="10">
        <f ca="1">IF(TBL_CUOTAS[[#This Row],[CUOTA_ATRASADA]],1,0)</f>
        <v>0</v>
      </c>
      <c r="L58" s="7">
        <f ca="1">IF(TBL_CUOTAS[[#This Row],[CUOTA_ATRASADA]],TBL_CUOTAS[[#This Row],[MONTO_CUOTA]]-IF(TBL_CUOTAS[[#This Row],[MONTO_PAGADO]]="",0,TBL_CUOTAS[[#This Row],[MONTO_PAGADO]]),0)</f>
        <v>0</v>
      </c>
    </row>
    <row r="59" spans="1:12" x14ac:dyDescent="0.25">
      <c r="A59" s="6">
        <v>119</v>
      </c>
      <c r="B59" s="6">
        <v>3</v>
      </c>
      <c r="C59" s="8" t="s">
        <v>31</v>
      </c>
      <c r="D59" s="8" t="s">
        <v>126</v>
      </c>
      <c r="E59" s="4">
        <v>45999</v>
      </c>
      <c r="F59" s="7">
        <v>57500</v>
      </c>
      <c r="G59" t="s">
        <v>85</v>
      </c>
      <c r="I59" s="7">
        <f>IF(G59="Total",TBL_CUOTAS[[#This Row],[MONTO_CUOTA]],IF(G59="Parcial",IF(H59="",0,H59),0))</f>
        <v>57500</v>
      </c>
      <c r="J59" s="7" t="b">
        <f t="shared" ca="1" si="1"/>
        <v>0</v>
      </c>
      <c r="K59" s="10">
        <f ca="1">IF(TBL_CUOTAS[[#This Row],[CUOTA_ATRASADA]],1,0)</f>
        <v>0</v>
      </c>
      <c r="L59" s="7">
        <f ca="1">IF(TBL_CUOTAS[[#This Row],[CUOTA_ATRASADA]],TBL_CUOTAS[[#This Row],[MONTO_CUOTA]]-IF(TBL_CUOTAS[[#This Row],[MONTO_PAGADO]]="",0,TBL_CUOTAS[[#This Row],[MONTO_PAGADO]]),0)</f>
        <v>0</v>
      </c>
    </row>
    <row r="60" spans="1:12" x14ac:dyDescent="0.25">
      <c r="A60" s="6">
        <v>119</v>
      </c>
      <c r="B60" s="6">
        <v>4</v>
      </c>
      <c r="C60" s="8" t="s">
        <v>31</v>
      </c>
      <c r="D60" s="8" t="s">
        <v>126</v>
      </c>
      <c r="E60" s="4">
        <v>46006</v>
      </c>
      <c r="F60" s="7">
        <v>57500</v>
      </c>
      <c r="G60" t="s">
        <v>86</v>
      </c>
      <c r="I60" s="7">
        <f>IF(G60="Total",TBL_CUOTAS[[#This Row],[MONTO_CUOTA]],IF(G60="Parcial",IF(H60="",0,H60),0))</f>
        <v>0</v>
      </c>
      <c r="J60" s="7" t="b">
        <f t="shared" ca="1" si="1"/>
        <v>0</v>
      </c>
      <c r="K60" s="10">
        <f ca="1">IF(TBL_CUOTAS[[#This Row],[CUOTA_ATRASADA]],1,0)</f>
        <v>0</v>
      </c>
      <c r="L60" s="7">
        <f ca="1">IF(TBL_CUOTAS[[#This Row],[CUOTA_ATRASADA]],TBL_CUOTAS[[#This Row],[MONTO_CUOTA]]-IF(TBL_CUOTAS[[#This Row],[MONTO_PAGADO]]="",0,TBL_CUOTAS[[#This Row],[MONTO_PAGADO]]),0)</f>
        <v>0</v>
      </c>
    </row>
    <row r="61" spans="1:12" x14ac:dyDescent="0.25">
      <c r="A61" s="6">
        <v>120</v>
      </c>
      <c r="B61" s="6">
        <v>1</v>
      </c>
      <c r="C61" s="8" t="s">
        <v>32</v>
      </c>
      <c r="D61" s="8" t="s">
        <v>126</v>
      </c>
      <c r="E61" s="4">
        <v>45982</v>
      </c>
      <c r="F61" s="7">
        <v>53750</v>
      </c>
      <c r="G61" t="s">
        <v>85</v>
      </c>
      <c r="I61" s="7">
        <f>IF(G61="Total",TBL_CUOTAS[[#This Row],[MONTO_CUOTA]],IF(G61="Parcial",IF(H61="",0,H61),0))</f>
        <v>53750</v>
      </c>
      <c r="J61" s="7" t="b">
        <f t="shared" ca="1" si="1"/>
        <v>0</v>
      </c>
      <c r="K61" s="10">
        <f ca="1">IF(TBL_CUOTAS[[#This Row],[CUOTA_ATRASADA]],1,0)</f>
        <v>0</v>
      </c>
      <c r="L61" s="7">
        <f ca="1">IF(TBL_CUOTAS[[#This Row],[CUOTA_ATRASADA]],TBL_CUOTAS[[#This Row],[MONTO_CUOTA]]-IF(TBL_CUOTAS[[#This Row],[MONTO_PAGADO]]="",0,TBL_CUOTAS[[#This Row],[MONTO_PAGADO]]),0)</f>
        <v>0</v>
      </c>
    </row>
    <row r="62" spans="1:12" x14ac:dyDescent="0.25">
      <c r="A62" s="6">
        <v>120</v>
      </c>
      <c r="B62" s="6">
        <v>2</v>
      </c>
      <c r="C62" s="8" t="s">
        <v>32</v>
      </c>
      <c r="D62" s="8" t="s">
        <v>126</v>
      </c>
      <c r="E62" s="4">
        <v>45989</v>
      </c>
      <c r="F62" s="7">
        <v>53750</v>
      </c>
      <c r="G62" t="s">
        <v>85</v>
      </c>
      <c r="I62" s="7">
        <f>IF(G62="Total",TBL_CUOTAS[[#This Row],[MONTO_CUOTA]],IF(G62="Parcial",IF(H62="",0,H62),0))</f>
        <v>53750</v>
      </c>
      <c r="J62" s="7" t="b">
        <f t="shared" ca="1" si="1"/>
        <v>0</v>
      </c>
      <c r="K62" s="10">
        <f ca="1">IF(TBL_CUOTAS[[#This Row],[CUOTA_ATRASADA]],1,0)</f>
        <v>0</v>
      </c>
      <c r="L62" s="7">
        <f ca="1">IF(TBL_CUOTAS[[#This Row],[CUOTA_ATRASADA]],TBL_CUOTAS[[#This Row],[MONTO_CUOTA]]-IF(TBL_CUOTAS[[#This Row],[MONTO_PAGADO]]="",0,TBL_CUOTAS[[#This Row],[MONTO_PAGADO]]),0)</f>
        <v>0</v>
      </c>
    </row>
    <row r="63" spans="1:12" x14ac:dyDescent="0.25">
      <c r="A63" s="6">
        <v>121</v>
      </c>
      <c r="B63" s="6">
        <v>1</v>
      </c>
      <c r="C63" s="8" t="s">
        <v>33</v>
      </c>
      <c r="D63" s="8" t="s">
        <v>126</v>
      </c>
      <c r="E63" s="4">
        <v>45986</v>
      </c>
      <c r="F63" s="7">
        <v>28750</v>
      </c>
      <c r="G63" t="s">
        <v>85</v>
      </c>
      <c r="I63" s="7">
        <f>IF(G63="Total",TBL_CUOTAS[[#This Row],[MONTO_CUOTA]],IF(G63="Parcial",IF(H63="",0,H63),0))</f>
        <v>28750</v>
      </c>
      <c r="J63" s="7" t="b">
        <f t="shared" ca="1" si="1"/>
        <v>0</v>
      </c>
      <c r="K63" s="10">
        <f ca="1">IF(TBL_CUOTAS[[#This Row],[CUOTA_ATRASADA]],1,0)</f>
        <v>0</v>
      </c>
      <c r="L63" s="7">
        <f ca="1">IF(TBL_CUOTAS[[#This Row],[CUOTA_ATRASADA]],TBL_CUOTAS[[#This Row],[MONTO_CUOTA]]-IF(TBL_CUOTAS[[#This Row],[MONTO_PAGADO]]="",0,TBL_CUOTAS[[#This Row],[MONTO_PAGADO]]),0)</f>
        <v>0</v>
      </c>
    </row>
    <row r="64" spans="1:12" x14ac:dyDescent="0.25">
      <c r="A64" s="6">
        <v>121</v>
      </c>
      <c r="B64" s="6">
        <v>2</v>
      </c>
      <c r="C64" s="8" t="s">
        <v>33</v>
      </c>
      <c r="D64" s="8" t="s">
        <v>126</v>
      </c>
      <c r="E64" s="4">
        <v>45993</v>
      </c>
      <c r="F64" s="7">
        <v>30000</v>
      </c>
      <c r="G64" t="s">
        <v>86</v>
      </c>
      <c r="I64" s="7">
        <f>IF(G64="Total",TBL_CUOTAS[[#This Row],[MONTO_CUOTA]],IF(G64="Parcial",IF(H64="",0,H64),0))</f>
        <v>0</v>
      </c>
      <c r="J64" s="7" t="b">
        <f t="shared" ca="1" si="1"/>
        <v>1</v>
      </c>
      <c r="K64" s="10">
        <f ca="1">IF(TBL_CUOTAS[[#This Row],[CUOTA_ATRASADA]],1,0)</f>
        <v>1</v>
      </c>
      <c r="L64" s="7">
        <f ca="1">IF(TBL_CUOTAS[[#This Row],[CUOTA_ATRASADA]],TBL_CUOTAS[[#This Row],[MONTO_CUOTA]]-IF(TBL_CUOTAS[[#This Row],[MONTO_PAGADO]]="",0,TBL_CUOTAS[[#This Row],[MONTO_PAGADO]]),0)</f>
        <v>30000</v>
      </c>
    </row>
    <row r="65" spans="1:12" x14ac:dyDescent="0.25">
      <c r="A65" s="6">
        <v>121</v>
      </c>
      <c r="B65" s="6">
        <v>3</v>
      </c>
      <c r="C65" s="8" t="s">
        <v>33</v>
      </c>
      <c r="D65" s="8" t="s">
        <v>126</v>
      </c>
      <c r="E65" s="4">
        <v>46000</v>
      </c>
      <c r="F65" s="7">
        <v>28750</v>
      </c>
      <c r="G65" t="s">
        <v>86</v>
      </c>
      <c r="I65" s="7">
        <f>IF(G65="Total",TBL_CUOTAS[[#This Row],[MONTO_CUOTA]],IF(G65="Parcial",IF(H65="",0,H65),0))</f>
        <v>0</v>
      </c>
      <c r="J65" s="7" t="b">
        <f t="shared" ca="1" si="1"/>
        <v>1</v>
      </c>
      <c r="K65" s="10">
        <f ca="1">IF(TBL_CUOTAS[[#This Row],[CUOTA_ATRASADA]],1,0)</f>
        <v>1</v>
      </c>
      <c r="L65" s="7">
        <f ca="1">IF(TBL_CUOTAS[[#This Row],[CUOTA_ATRASADA]],TBL_CUOTAS[[#This Row],[MONTO_CUOTA]]-IF(TBL_CUOTAS[[#This Row],[MONTO_PAGADO]]="",0,TBL_CUOTAS[[#This Row],[MONTO_PAGADO]]),0)</f>
        <v>28750</v>
      </c>
    </row>
    <row r="66" spans="1:12" x14ac:dyDescent="0.25">
      <c r="A66" s="6">
        <v>121</v>
      </c>
      <c r="B66" s="6">
        <v>4</v>
      </c>
      <c r="C66" s="8" t="s">
        <v>33</v>
      </c>
      <c r="D66" s="8" t="s">
        <v>126</v>
      </c>
      <c r="E66" s="4">
        <v>46007</v>
      </c>
      <c r="F66" s="7">
        <v>28750</v>
      </c>
      <c r="G66" t="s">
        <v>86</v>
      </c>
      <c r="I66" s="7">
        <f>IF(G66="Total",TBL_CUOTAS[[#This Row],[MONTO_CUOTA]],IF(G66="Parcial",IF(H66="",0,H66),0))</f>
        <v>0</v>
      </c>
      <c r="J66" s="7" t="b">
        <f t="shared" ref="J66:J97" ca="1" si="2">AND($G66="Impago",$E66&lt;TODAY())</f>
        <v>0</v>
      </c>
      <c r="K66" s="10">
        <f ca="1">IF(TBL_CUOTAS[[#This Row],[CUOTA_ATRASADA]],1,0)</f>
        <v>0</v>
      </c>
      <c r="L66" s="7">
        <f ca="1">IF(TBL_CUOTAS[[#This Row],[CUOTA_ATRASADA]],TBL_CUOTAS[[#This Row],[MONTO_CUOTA]]-IF(TBL_CUOTAS[[#This Row],[MONTO_PAGADO]]="",0,TBL_CUOTAS[[#This Row],[MONTO_PAGADO]]),0)</f>
        <v>0</v>
      </c>
    </row>
    <row r="67" spans="1:12" x14ac:dyDescent="0.25">
      <c r="A67" s="6">
        <v>122</v>
      </c>
      <c r="B67" s="6">
        <v>1</v>
      </c>
      <c r="C67" s="8" t="s">
        <v>34</v>
      </c>
      <c r="D67" s="8" t="s">
        <v>126</v>
      </c>
      <c r="E67" s="4">
        <v>46009</v>
      </c>
      <c r="F67" s="7">
        <v>120000</v>
      </c>
      <c r="G67" t="s">
        <v>86</v>
      </c>
      <c r="I67" s="7">
        <f>IF(G67="Total",TBL_CUOTAS[[#This Row],[MONTO_CUOTA]],IF(G67="Parcial",IF(H67="",0,H67),0))</f>
        <v>0</v>
      </c>
      <c r="J67" s="7" t="b">
        <f t="shared" ca="1" si="2"/>
        <v>0</v>
      </c>
      <c r="K67" s="10">
        <f ca="1">IF(TBL_CUOTAS[[#This Row],[CUOTA_ATRASADA]],1,0)</f>
        <v>0</v>
      </c>
      <c r="L67" s="7">
        <f ca="1">IF(TBL_CUOTAS[[#This Row],[CUOTA_ATRASADA]],TBL_CUOTAS[[#This Row],[MONTO_CUOTA]]-IF(TBL_CUOTAS[[#This Row],[MONTO_PAGADO]]="",0,TBL_CUOTAS[[#This Row],[MONTO_PAGADO]]),0)</f>
        <v>0</v>
      </c>
    </row>
    <row r="68" spans="1:12" x14ac:dyDescent="0.25">
      <c r="A68" s="6">
        <v>124</v>
      </c>
      <c r="B68" s="6">
        <v>1</v>
      </c>
      <c r="C68" s="8" t="s">
        <v>35</v>
      </c>
      <c r="D68" s="8" t="s">
        <v>126</v>
      </c>
      <c r="E68" s="4">
        <v>45987</v>
      </c>
      <c r="F68" s="7">
        <v>57500</v>
      </c>
      <c r="G68" t="s">
        <v>85</v>
      </c>
      <c r="I68" s="7">
        <f>IF(G68="Total",TBL_CUOTAS[[#This Row],[MONTO_CUOTA]],IF(G68="Parcial",IF(H68="",0,H68),0))</f>
        <v>57500</v>
      </c>
      <c r="J68" s="7" t="b">
        <f t="shared" ca="1" si="2"/>
        <v>0</v>
      </c>
      <c r="K68" s="10">
        <f ca="1">IF(TBL_CUOTAS[[#This Row],[CUOTA_ATRASADA]],1,0)</f>
        <v>0</v>
      </c>
      <c r="L68" s="7">
        <f ca="1">IF(TBL_CUOTAS[[#This Row],[CUOTA_ATRASADA]],TBL_CUOTAS[[#This Row],[MONTO_CUOTA]]-IF(TBL_CUOTAS[[#This Row],[MONTO_PAGADO]]="",0,TBL_CUOTAS[[#This Row],[MONTO_PAGADO]]),0)</f>
        <v>0</v>
      </c>
    </row>
    <row r="69" spans="1:12" x14ac:dyDescent="0.25">
      <c r="A69" s="6">
        <v>124</v>
      </c>
      <c r="B69" s="6">
        <v>2</v>
      </c>
      <c r="C69" s="8" t="s">
        <v>35</v>
      </c>
      <c r="D69" s="8" t="s">
        <v>126</v>
      </c>
      <c r="E69" s="4">
        <v>45994</v>
      </c>
      <c r="F69" s="7">
        <v>57500</v>
      </c>
      <c r="G69" t="s">
        <v>85</v>
      </c>
      <c r="I69" s="7">
        <f>IF(G69="Total",TBL_CUOTAS[[#This Row],[MONTO_CUOTA]],IF(G69="Parcial",IF(H69="",0,H69),0))</f>
        <v>57500</v>
      </c>
      <c r="J69" s="7" t="b">
        <f t="shared" ca="1" si="2"/>
        <v>0</v>
      </c>
      <c r="K69" s="10">
        <f ca="1">IF(TBL_CUOTAS[[#This Row],[CUOTA_ATRASADA]],1,0)</f>
        <v>0</v>
      </c>
      <c r="L69" s="7">
        <f ca="1">IF(TBL_CUOTAS[[#This Row],[CUOTA_ATRASADA]],TBL_CUOTAS[[#This Row],[MONTO_CUOTA]]-IF(TBL_CUOTAS[[#This Row],[MONTO_PAGADO]]="",0,TBL_CUOTAS[[#This Row],[MONTO_PAGADO]]),0)</f>
        <v>0</v>
      </c>
    </row>
    <row r="70" spans="1:12" x14ac:dyDescent="0.25">
      <c r="A70" s="6">
        <v>124</v>
      </c>
      <c r="B70" s="6">
        <v>3</v>
      </c>
      <c r="C70" s="8" t="s">
        <v>35</v>
      </c>
      <c r="D70" s="8" t="s">
        <v>126</v>
      </c>
      <c r="E70" s="4">
        <v>46001</v>
      </c>
      <c r="F70" s="7">
        <v>57500</v>
      </c>
      <c r="G70" t="s">
        <v>86</v>
      </c>
      <c r="I70" s="7">
        <f>IF(G70="Total",TBL_CUOTAS[[#This Row],[MONTO_CUOTA]],IF(G70="Parcial",IF(H70="",0,H70),0))</f>
        <v>0</v>
      </c>
      <c r="J70" s="7" t="b">
        <f t="shared" ca="1" si="2"/>
        <v>1</v>
      </c>
      <c r="K70" s="10">
        <f ca="1">IF(TBL_CUOTAS[[#This Row],[CUOTA_ATRASADA]],1,0)</f>
        <v>1</v>
      </c>
      <c r="L70" s="7">
        <f ca="1">IF(TBL_CUOTAS[[#This Row],[CUOTA_ATRASADA]],TBL_CUOTAS[[#This Row],[MONTO_CUOTA]]-IF(TBL_CUOTAS[[#This Row],[MONTO_PAGADO]]="",0,TBL_CUOTAS[[#This Row],[MONTO_PAGADO]]),0)</f>
        <v>57500</v>
      </c>
    </row>
    <row r="71" spans="1:12" x14ac:dyDescent="0.25">
      <c r="A71" s="6">
        <v>124</v>
      </c>
      <c r="B71" s="6">
        <v>4</v>
      </c>
      <c r="C71" s="8" t="s">
        <v>35</v>
      </c>
      <c r="D71" s="8" t="s">
        <v>126</v>
      </c>
      <c r="E71" s="4">
        <v>46008</v>
      </c>
      <c r="F71" s="7">
        <v>57500</v>
      </c>
      <c r="G71" t="s">
        <v>86</v>
      </c>
      <c r="I71" s="7">
        <f>IF(G71="Total",TBL_CUOTAS[[#This Row],[MONTO_CUOTA]],IF(G71="Parcial",IF(H71="",0,H71),0))</f>
        <v>0</v>
      </c>
      <c r="J71" s="7" t="b">
        <f t="shared" ca="1" si="2"/>
        <v>0</v>
      </c>
      <c r="K71" s="10">
        <f ca="1">IF(TBL_CUOTAS[[#This Row],[CUOTA_ATRASADA]],1,0)</f>
        <v>0</v>
      </c>
      <c r="L71" s="7">
        <f ca="1">IF(TBL_CUOTAS[[#This Row],[CUOTA_ATRASADA]],TBL_CUOTAS[[#This Row],[MONTO_CUOTA]]-IF(TBL_CUOTAS[[#This Row],[MONTO_PAGADO]]="",0,TBL_CUOTAS[[#This Row],[MONTO_PAGADO]]),0)</f>
        <v>0</v>
      </c>
    </row>
    <row r="72" spans="1:12" x14ac:dyDescent="0.25">
      <c r="A72" s="6">
        <v>125</v>
      </c>
      <c r="B72" s="6">
        <v>1</v>
      </c>
      <c r="C72" s="8" t="s">
        <v>36</v>
      </c>
      <c r="D72" s="8" t="s">
        <v>126</v>
      </c>
      <c r="E72" s="4">
        <v>45987</v>
      </c>
      <c r="F72" s="7">
        <v>115000</v>
      </c>
      <c r="G72" t="s">
        <v>85</v>
      </c>
      <c r="I72" s="7">
        <f>IF(G72="Total",TBL_CUOTAS[[#This Row],[MONTO_CUOTA]],IF(G72="Parcial",IF(H72="",0,H72),0))</f>
        <v>115000</v>
      </c>
      <c r="J72" s="7" t="b">
        <f t="shared" ca="1" si="2"/>
        <v>0</v>
      </c>
      <c r="K72" s="10">
        <f ca="1">IF(TBL_CUOTAS[[#This Row],[CUOTA_ATRASADA]],1,0)</f>
        <v>0</v>
      </c>
      <c r="L72" s="7">
        <f ca="1">IF(TBL_CUOTAS[[#This Row],[CUOTA_ATRASADA]],TBL_CUOTAS[[#This Row],[MONTO_CUOTA]]-IF(TBL_CUOTAS[[#This Row],[MONTO_PAGADO]]="",0,TBL_CUOTAS[[#This Row],[MONTO_PAGADO]]),0)</f>
        <v>0</v>
      </c>
    </row>
    <row r="73" spans="1:12" x14ac:dyDescent="0.25">
      <c r="A73" s="6">
        <v>125</v>
      </c>
      <c r="B73" s="6">
        <v>2</v>
      </c>
      <c r="C73" s="8" t="s">
        <v>36</v>
      </c>
      <c r="D73" s="8" t="s">
        <v>126</v>
      </c>
      <c r="E73" s="4">
        <v>45994</v>
      </c>
      <c r="F73" s="7">
        <v>115000</v>
      </c>
      <c r="G73" t="s">
        <v>85</v>
      </c>
      <c r="I73" s="7">
        <f>IF(G73="Total",TBL_CUOTAS[[#This Row],[MONTO_CUOTA]],IF(G73="Parcial",IF(H73="",0,H73),0))</f>
        <v>115000</v>
      </c>
      <c r="J73" s="7" t="b">
        <f t="shared" ca="1" si="2"/>
        <v>0</v>
      </c>
      <c r="K73" s="10">
        <f ca="1">IF(TBL_CUOTAS[[#This Row],[CUOTA_ATRASADA]],1,0)</f>
        <v>0</v>
      </c>
      <c r="L73" s="7">
        <f ca="1">IF(TBL_CUOTAS[[#This Row],[CUOTA_ATRASADA]],TBL_CUOTAS[[#This Row],[MONTO_CUOTA]]-IF(TBL_CUOTAS[[#This Row],[MONTO_PAGADO]]="",0,TBL_CUOTAS[[#This Row],[MONTO_PAGADO]]),0)</f>
        <v>0</v>
      </c>
    </row>
    <row r="74" spans="1:12" x14ac:dyDescent="0.25">
      <c r="A74" s="6">
        <v>125</v>
      </c>
      <c r="B74" s="6">
        <v>3</v>
      </c>
      <c r="C74" s="8" t="s">
        <v>36</v>
      </c>
      <c r="D74" s="8" t="s">
        <v>126</v>
      </c>
      <c r="E74" s="4">
        <v>46001</v>
      </c>
      <c r="F74" s="7">
        <v>115000</v>
      </c>
      <c r="G74" t="s">
        <v>86</v>
      </c>
      <c r="I74" s="7">
        <f>IF(G74="Total",TBL_CUOTAS[[#This Row],[MONTO_CUOTA]],IF(G74="Parcial",IF(H74="",0,H74),0))</f>
        <v>0</v>
      </c>
      <c r="J74" s="7" t="b">
        <f t="shared" ca="1" si="2"/>
        <v>1</v>
      </c>
      <c r="K74" s="10">
        <f ca="1">IF(TBL_CUOTAS[[#This Row],[CUOTA_ATRASADA]],1,0)</f>
        <v>1</v>
      </c>
      <c r="L74" s="7">
        <f ca="1">IF(TBL_CUOTAS[[#This Row],[CUOTA_ATRASADA]],TBL_CUOTAS[[#This Row],[MONTO_CUOTA]]-IF(TBL_CUOTAS[[#This Row],[MONTO_PAGADO]]="",0,TBL_CUOTAS[[#This Row],[MONTO_PAGADO]]),0)</f>
        <v>115000</v>
      </c>
    </row>
    <row r="75" spans="1:12" x14ac:dyDescent="0.25">
      <c r="A75" s="6">
        <v>125</v>
      </c>
      <c r="B75" s="6">
        <v>4</v>
      </c>
      <c r="C75" s="8" t="s">
        <v>36</v>
      </c>
      <c r="D75" s="8" t="s">
        <v>126</v>
      </c>
      <c r="E75" s="4">
        <v>46008</v>
      </c>
      <c r="F75" s="7">
        <v>115000</v>
      </c>
      <c r="G75" t="s">
        <v>86</v>
      </c>
      <c r="I75" s="7">
        <f>IF(G75="Total",TBL_CUOTAS[[#This Row],[MONTO_CUOTA]],IF(G75="Parcial",IF(H75="",0,H75),0))</f>
        <v>0</v>
      </c>
      <c r="J75" s="7" t="b">
        <f t="shared" ca="1" si="2"/>
        <v>0</v>
      </c>
      <c r="K75" s="10">
        <f ca="1">IF(TBL_CUOTAS[[#This Row],[CUOTA_ATRASADA]],1,0)</f>
        <v>0</v>
      </c>
      <c r="L75" s="7">
        <f ca="1">IF(TBL_CUOTAS[[#This Row],[CUOTA_ATRASADA]],TBL_CUOTAS[[#This Row],[MONTO_CUOTA]]-IF(TBL_CUOTAS[[#This Row],[MONTO_PAGADO]]="",0,TBL_CUOTAS[[#This Row],[MONTO_PAGADO]]),0)</f>
        <v>0</v>
      </c>
    </row>
    <row r="76" spans="1:12" x14ac:dyDescent="0.25">
      <c r="A76" s="6">
        <v>126</v>
      </c>
      <c r="B76" s="6">
        <v>1</v>
      </c>
      <c r="C76" s="8" t="s">
        <v>37</v>
      </c>
      <c r="D76" s="8" t="s">
        <v>126</v>
      </c>
      <c r="E76" s="4">
        <v>46010</v>
      </c>
      <c r="F76" s="7">
        <v>210000</v>
      </c>
      <c r="G76" t="s">
        <v>86</v>
      </c>
      <c r="I76" s="7">
        <f>IF(G76="Total",TBL_CUOTAS[[#This Row],[MONTO_CUOTA]],IF(G76="Parcial",IF(H76="",0,H76),0))</f>
        <v>0</v>
      </c>
      <c r="J76" s="7" t="b">
        <f t="shared" ca="1" si="2"/>
        <v>0</v>
      </c>
      <c r="K76" s="10">
        <f ca="1">IF(TBL_CUOTAS[[#This Row],[CUOTA_ATRASADA]],1,0)</f>
        <v>0</v>
      </c>
      <c r="L76" s="7">
        <f ca="1">IF(TBL_CUOTAS[[#This Row],[CUOTA_ATRASADA]],TBL_CUOTAS[[#This Row],[MONTO_CUOTA]]-IF(TBL_CUOTAS[[#This Row],[MONTO_PAGADO]]="",0,TBL_CUOTAS[[#This Row],[MONTO_PAGADO]]),0)</f>
        <v>0</v>
      </c>
    </row>
    <row r="77" spans="1:12" x14ac:dyDescent="0.25">
      <c r="A77" s="6">
        <v>126</v>
      </c>
      <c r="B77" s="6">
        <v>2</v>
      </c>
      <c r="C77" s="8" t="s">
        <v>37</v>
      </c>
      <c r="D77" s="8" t="s">
        <v>126</v>
      </c>
      <c r="E77" s="4">
        <v>46041</v>
      </c>
      <c r="F77" s="7">
        <v>210000</v>
      </c>
      <c r="G77" t="s">
        <v>86</v>
      </c>
      <c r="I77" s="7">
        <f>IF(G77="Total",TBL_CUOTAS[[#This Row],[MONTO_CUOTA]],IF(G77="Parcial",IF(H77="",0,H77),0))</f>
        <v>0</v>
      </c>
      <c r="J77" s="7" t="b">
        <f t="shared" ca="1" si="2"/>
        <v>0</v>
      </c>
      <c r="K77" s="10">
        <f ca="1">IF(TBL_CUOTAS[[#This Row],[CUOTA_ATRASADA]],1,0)</f>
        <v>0</v>
      </c>
      <c r="L77" s="7">
        <f ca="1">IF(TBL_CUOTAS[[#This Row],[CUOTA_ATRASADA]],TBL_CUOTAS[[#This Row],[MONTO_CUOTA]]-IF(TBL_CUOTAS[[#This Row],[MONTO_PAGADO]]="",0,TBL_CUOTAS[[#This Row],[MONTO_PAGADO]]),0)</f>
        <v>0</v>
      </c>
    </row>
    <row r="78" spans="1:12" x14ac:dyDescent="0.25">
      <c r="A78" s="6">
        <v>128</v>
      </c>
      <c r="B78" s="6">
        <v>1</v>
      </c>
      <c r="C78" s="8" t="s">
        <v>38</v>
      </c>
      <c r="D78" s="8" t="s">
        <v>127</v>
      </c>
      <c r="E78" s="4">
        <v>46021</v>
      </c>
      <c r="F78" s="7">
        <v>360000</v>
      </c>
      <c r="G78" t="s">
        <v>86</v>
      </c>
      <c r="I78" s="7">
        <f>IF(G78="Total",TBL_CUOTAS[[#This Row],[MONTO_CUOTA]],IF(G78="Parcial",IF(H78="",0,H78),0))</f>
        <v>0</v>
      </c>
      <c r="J78" s="7" t="b">
        <f t="shared" ca="1" si="2"/>
        <v>0</v>
      </c>
      <c r="K78" s="10">
        <f ca="1">IF(TBL_CUOTAS[[#This Row],[CUOTA_ATRASADA]],1,0)</f>
        <v>0</v>
      </c>
      <c r="L78" s="7">
        <f ca="1">IF(TBL_CUOTAS[[#This Row],[CUOTA_ATRASADA]],TBL_CUOTAS[[#This Row],[MONTO_CUOTA]]-IF(TBL_CUOTAS[[#This Row],[MONTO_PAGADO]]="",0,TBL_CUOTAS[[#This Row],[MONTO_PAGADO]]),0)</f>
        <v>0</v>
      </c>
    </row>
    <row r="79" spans="1:12" x14ac:dyDescent="0.25">
      <c r="A79" s="6">
        <v>129</v>
      </c>
      <c r="B79" s="6">
        <v>1</v>
      </c>
      <c r="C79" s="8" t="s">
        <v>13</v>
      </c>
      <c r="D79" s="8" t="s">
        <v>128</v>
      </c>
      <c r="E79" s="4">
        <v>46044</v>
      </c>
      <c r="F79" s="7">
        <v>490000</v>
      </c>
      <c r="G79" t="s">
        <v>86</v>
      </c>
      <c r="I79" s="7">
        <f>IF(G79="Total",TBL_CUOTAS[[#This Row],[MONTO_CUOTA]],IF(G79="Parcial",IF(H79="",0,H79),0))</f>
        <v>0</v>
      </c>
      <c r="J79" s="7" t="b">
        <f t="shared" ca="1" si="2"/>
        <v>0</v>
      </c>
      <c r="K79" s="10">
        <f ca="1">IF(TBL_CUOTAS[[#This Row],[CUOTA_ATRASADA]],1,0)</f>
        <v>0</v>
      </c>
      <c r="L79" s="7">
        <f ca="1">IF(TBL_CUOTAS[[#This Row],[CUOTA_ATRASADA]],TBL_CUOTAS[[#This Row],[MONTO_CUOTA]]-IF(TBL_CUOTAS[[#This Row],[MONTO_PAGADO]]="",0,TBL_CUOTAS[[#This Row],[MONTO_PAGADO]]),0)</f>
        <v>0</v>
      </c>
    </row>
    <row r="80" spans="1:12" x14ac:dyDescent="0.25">
      <c r="A80" s="6">
        <v>130</v>
      </c>
      <c r="B80" s="6">
        <v>1</v>
      </c>
      <c r="C80" s="8" t="s">
        <v>39</v>
      </c>
      <c r="D80" s="8" t="s">
        <v>126</v>
      </c>
      <c r="E80" s="4">
        <v>46011</v>
      </c>
      <c r="F80" s="7">
        <v>240000</v>
      </c>
      <c r="G80" t="s">
        <v>86</v>
      </c>
      <c r="I80" s="7">
        <f>IF(G80="Total",TBL_CUOTAS[[#This Row],[MONTO_CUOTA]],IF(G80="Parcial",IF(H80="",0,H80),0))</f>
        <v>0</v>
      </c>
      <c r="J80" s="7" t="b">
        <f t="shared" ca="1" si="2"/>
        <v>0</v>
      </c>
      <c r="K80" s="10">
        <f ca="1">IF(TBL_CUOTAS[[#This Row],[CUOTA_ATRASADA]],1,0)</f>
        <v>0</v>
      </c>
      <c r="L80" s="7">
        <f ca="1">IF(TBL_CUOTAS[[#This Row],[CUOTA_ATRASADA]],TBL_CUOTAS[[#This Row],[MONTO_CUOTA]]-IF(TBL_CUOTAS[[#This Row],[MONTO_PAGADO]]="",0,TBL_CUOTAS[[#This Row],[MONTO_PAGADO]]),0)</f>
        <v>0</v>
      </c>
    </row>
    <row r="81" spans="1:12" x14ac:dyDescent="0.25">
      <c r="A81" s="6">
        <v>131</v>
      </c>
      <c r="B81" s="6">
        <v>1</v>
      </c>
      <c r="C81" s="8" t="s">
        <v>40</v>
      </c>
      <c r="D81" s="8" t="s">
        <v>126</v>
      </c>
      <c r="E81" s="4">
        <v>46012</v>
      </c>
      <c r="F81" s="7">
        <v>120000</v>
      </c>
      <c r="G81" t="s">
        <v>86</v>
      </c>
      <c r="I81" s="7">
        <f>IF(G81="Total",TBL_CUOTAS[[#This Row],[MONTO_CUOTA]],IF(G81="Parcial",IF(H81="",0,H81),0))</f>
        <v>0</v>
      </c>
      <c r="J81" s="7" t="b">
        <f t="shared" ca="1" si="2"/>
        <v>0</v>
      </c>
      <c r="K81" s="10">
        <f ca="1">IF(TBL_CUOTAS[[#This Row],[CUOTA_ATRASADA]],1,0)</f>
        <v>0</v>
      </c>
      <c r="L81" s="7">
        <f ca="1">IF(TBL_CUOTAS[[#This Row],[CUOTA_ATRASADA]],TBL_CUOTAS[[#This Row],[MONTO_CUOTA]]-IF(TBL_CUOTAS[[#This Row],[MONTO_PAGADO]]="",0,TBL_CUOTAS[[#This Row],[MONTO_PAGADO]]),0)</f>
        <v>0</v>
      </c>
    </row>
    <row r="82" spans="1:12" x14ac:dyDescent="0.25">
      <c r="A82" s="6">
        <v>132</v>
      </c>
      <c r="B82" s="6">
        <v>1</v>
      </c>
      <c r="C82" s="8" t="s">
        <v>41</v>
      </c>
      <c r="D82" s="8" t="s">
        <v>126</v>
      </c>
      <c r="E82" s="4">
        <v>45989</v>
      </c>
      <c r="F82" s="7">
        <v>86250</v>
      </c>
      <c r="G82" t="s">
        <v>85</v>
      </c>
      <c r="I82" s="7">
        <f>IF(G82="Total",TBL_CUOTAS[[#This Row],[MONTO_CUOTA]],IF(G82="Parcial",IF(H82="",0,H82),0))</f>
        <v>86250</v>
      </c>
      <c r="J82" s="7" t="b">
        <f t="shared" ca="1" si="2"/>
        <v>0</v>
      </c>
      <c r="K82" s="10">
        <f ca="1">IF(TBL_CUOTAS[[#This Row],[CUOTA_ATRASADA]],1,0)</f>
        <v>0</v>
      </c>
      <c r="L82" s="7">
        <f ca="1">IF(TBL_CUOTAS[[#This Row],[CUOTA_ATRASADA]],TBL_CUOTAS[[#This Row],[MONTO_CUOTA]]-IF(TBL_CUOTAS[[#This Row],[MONTO_PAGADO]]="",0,TBL_CUOTAS[[#This Row],[MONTO_PAGADO]]),0)</f>
        <v>0</v>
      </c>
    </row>
    <row r="83" spans="1:12" x14ac:dyDescent="0.25">
      <c r="A83" s="6">
        <v>132</v>
      </c>
      <c r="B83" s="6">
        <v>2</v>
      </c>
      <c r="C83" s="8" t="s">
        <v>41</v>
      </c>
      <c r="D83" s="8" t="s">
        <v>126</v>
      </c>
      <c r="E83" s="4">
        <v>45996</v>
      </c>
      <c r="F83" s="7">
        <v>86250</v>
      </c>
      <c r="G83" t="s">
        <v>85</v>
      </c>
      <c r="I83" s="7">
        <f>IF(G83="Total",TBL_CUOTAS[[#This Row],[MONTO_CUOTA]],IF(G83="Parcial",IF(H83="",0,H83),0))</f>
        <v>86250</v>
      </c>
      <c r="J83" s="7" t="b">
        <f t="shared" ca="1" si="2"/>
        <v>0</v>
      </c>
      <c r="K83" s="10">
        <f ca="1">IF(TBL_CUOTAS[[#This Row],[CUOTA_ATRASADA]],1,0)</f>
        <v>0</v>
      </c>
      <c r="L83" s="7">
        <f ca="1">IF(TBL_CUOTAS[[#This Row],[CUOTA_ATRASADA]],TBL_CUOTAS[[#This Row],[MONTO_CUOTA]]-IF(TBL_CUOTAS[[#This Row],[MONTO_PAGADO]]="",0,TBL_CUOTAS[[#This Row],[MONTO_PAGADO]]),0)</f>
        <v>0</v>
      </c>
    </row>
    <row r="84" spans="1:12" x14ac:dyDescent="0.25">
      <c r="A84" s="6">
        <v>132</v>
      </c>
      <c r="B84" s="6">
        <v>3</v>
      </c>
      <c r="C84" s="8" t="s">
        <v>41</v>
      </c>
      <c r="D84" s="8" t="s">
        <v>126</v>
      </c>
      <c r="E84" s="4">
        <v>46003</v>
      </c>
      <c r="F84" s="7">
        <v>86250</v>
      </c>
      <c r="G84" t="s">
        <v>86</v>
      </c>
      <c r="I84" s="7">
        <f>IF(G84="Total",TBL_CUOTAS[[#This Row],[MONTO_CUOTA]],IF(G84="Parcial",IF(H84="",0,H84),0))</f>
        <v>0</v>
      </c>
      <c r="J84" s="7" t="b">
        <f t="shared" ca="1" si="2"/>
        <v>0</v>
      </c>
      <c r="K84" s="10">
        <f ca="1">IF(TBL_CUOTAS[[#This Row],[CUOTA_ATRASADA]],1,0)</f>
        <v>0</v>
      </c>
      <c r="L84" s="7">
        <f ca="1">IF(TBL_CUOTAS[[#This Row],[CUOTA_ATRASADA]],TBL_CUOTAS[[#This Row],[MONTO_CUOTA]]-IF(TBL_CUOTAS[[#This Row],[MONTO_PAGADO]]="",0,TBL_CUOTAS[[#This Row],[MONTO_PAGADO]]),0)</f>
        <v>0</v>
      </c>
    </row>
    <row r="85" spans="1:12" x14ac:dyDescent="0.25">
      <c r="A85" s="6">
        <v>132</v>
      </c>
      <c r="B85" s="6">
        <v>4</v>
      </c>
      <c r="C85" s="8" t="s">
        <v>41</v>
      </c>
      <c r="D85" s="8" t="s">
        <v>126</v>
      </c>
      <c r="E85" s="4">
        <v>46010</v>
      </c>
      <c r="F85" s="7">
        <v>86250</v>
      </c>
      <c r="G85" t="s">
        <v>86</v>
      </c>
      <c r="I85" s="7">
        <f>IF(G85="Total",TBL_CUOTAS[[#This Row],[MONTO_CUOTA]],IF(G85="Parcial",IF(H85="",0,H85),0))</f>
        <v>0</v>
      </c>
      <c r="J85" s="7" t="b">
        <f t="shared" ca="1" si="2"/>
        <v>0</v>
      </c>
      <c r="K85" s="10">
        <f ca="1">IF(TBL_CUOTAS[[#This Row],[CUOTA_ATRASADA]],1,0)</f>
        <v>0</v>
      </c>
      <c r="L85" s="7">
        <f ca="1">IF(TBL_CUOTAS[[#This Row],[CUOTA_ATRASADA]],TBL_CUOTAS[[#This Row],[MONTO_CUOTA]]-IF(TBL_CUOTAS[[#This Row],[MONTO_PAGADO]]="",0,TBL_CUOTAS[[#This Row],[MONTO_PAGADO]]),0)</f>
        <v>0</v>
      </c>
    </row>
    <row r="86" spans="1:12" x14ac:dyDescent="0.25">
      <c r="A86" s="6">
        <v>133</v>
      </c>
      <c r="B86" s="6">
        <v>1</v>
      </c>
      <c r="C86" s="8" t="s">
        <v>42</v>
      </c>
      <c r="D86" s="8" t="s">
        <v>126</v>
      </c>
      <c r="E86" s="4">
        <v>45992</v>
      </c>
      <c r="F86" s="7">
        <v>28750</v>
      </c>
      <c r="G86" t="s">
        <v>85</v>
      </c>
      <c r="I86" s="7">
        <f>IF(G86="Total",TBL_CUOTAS[[#This Row],[MONTO_CUOTA]],IF(G86="Parcial",IF(H86="",0,H86),0))</f>
        <v>28750</v>
      </c>
      <c r="J86" s="7" t="b">
        <f t="shared" ca="1" si="2"/>
        <v>0</v>
      </c>
      <c r="K86" s="10">
        <f ca="1">IF(TBL_CUOTAS[[#This Row],[CUOTA_ATRASADA]],1,0)</f>
        <v>0</v>
      </c>
      <c r="L86" s="7">
        <f ca="1">IF(TBL_CUOTAS[[#This Row],[CUOTA_ATRASADA]],TBL_CUOTAS[[#This Row],[MONTO_CUOTA]]-IF(TBL_CUOTAS[[#This Row],[MONTO_PAGADO]]="",0,TBL_CUOTAS[[#This Row],[MONTO_PAGADO]]),0)</f>
        <v>0</v>
      </c>
    </row>
    <row r="87" spans="1:12" x14ac:dyDescent="0.25">
      <c r="A87" s="6">
        <v>133</v>
      </c>
      <c r="B87" s="6">
        <v>2</v>
      </c>
      <c r="C87" s="8" t="s">
        <v>42</v>
      </c>
      <c r="D87" s="8" t="s">
        <v>126</v>
      </c>
      <c r="E87" s="4">
        <v>45999</v>
      </c>
      <c r="F87" s="7">
        <v>28750</v>
      </c>
      <c r="G87" t="s">
        <v>85</v>
      </c>
      <c r="I87" s="7">
        <f>IF(G87="Total",TBL_CUOTAS[[#This Row],[MONTO_CUOTA]],IF(G87="Parcial",IF(H87="",0,H87),0))</f>
        <v>28750</v>
      </c>
      <c r="J87" s="7" t="b">
        <f t="shared" ca="1" si="2"/>
        <v>0</v>
      </c>
      <c r="K87" s="10">
        <f ca="1">IF(TBL_CUOTAS[[#This Row],[CUOTA_ATRASADA]],1,0)</f>
        <v>0</v>
      </c>
      <c r="L87" s="7">
        <f ca="1">IF(TBL_CUOTAS[[#This Row],[CUOTA_ATRASADA]],TBL_CUOTAS[[#This Row],[MONTO_CUOTA]]-IF(TBL_CUOTAS[[#This Row],[MONTO_PAGADO]]="",0,TBL_CUOTAS[[#This Row],[MONTO_PAGADO]]),0)</f>
        <v>0</v>
      </c>
    </row>
    <row r="88" spans="1:12" x14ac:dyDescent="0.25">
      <c r="A88" s="6">
        <v>133</v>
      </c>
      <c r="B88" s="6">
        <v>3</v>
      </c>
      <c r="C88" s="8" t="s">
        <v>42</v>
      </c>
      <c r="D88" s="8" t="s">
        <v>126</v>
      </c>
      <c r="E88" s="4">
        <v>46006</v>
      </c>
      <c r="F88" s="7">
        <v>28750</v>
      </c>
      <c r="G88" t="s">
        <v>86</v>
      </c>
      <c r="I88" s="7">
        <f>IF(G88="Total",TBL_CUOTAS[[#This Row],[MONTO_CUOTA]],IF(G88="Parcial",IF(H88="",0,H88),0))</f>
        <v>0</v>
      </c>
      <c r="J88" s="7" t="b">
        <f t="shared" ca="1" si="2"/>
        <v>0</v>
      </c>
      <c r="K88" s="10">
        <f ca="1">IF(TBL_CUOTAS[[#This Row],[CUOTA_ATRASADA]],1,0)</f>
        <v>0</v>
      </c>
      <c r="L88" s="7">
        <f ca="1">IF(TBL_CUOTAS[[#This Row],[CUOTA_ATRASADA]],TBL_CUOTAS[[#This Row],[MONTO_CUOTA]]-IF(TBL_CUOTAS[[#This Row],[MONTO_PAGADO]]="",0,TBL_CUOTAS[[#This Row],[MONTO_PAGADO]]),0)</f>
        <v>0</v>
      </c>
    </row>
    <row r="89" spans="1:12" x14ac:dyDescent="0.25">
      <c r="A89" s="6">
        <v>133</v>
      </c>
      <c r="B89" s="6">
        <v>4</v>
      </c>
      <c r="C89" s="8" t="s">
        <v>42</v>
      </c>
      <c r="D89" s="8" t="s">
        <v>126</v>
      </c>
      <c r="E89" s="4">
        <v>46013</v>
      </c>
      <c r="F89" s="7">
        <v>28750</v>
      </c>
      <c r="G89" t="s">
        <v>86</v>
      </c>
      <c r="I89" s="7">
        <f>IF(G89="Total",TBL_CUOTAS[[#This Row],[MONTO_CUOTA]],IF(G89="Parcial",IF(H89="",0,H89),0))</f>
        <v>0</v>
      </c>
      <c r="J89" s="7" t="b">
        <f t="shared" ca="1" si="2"/>
        <v>0</v>
      </c>
      <c r="K89" s="10">
        <f ca="1">IF(TBL_CUOTAS[[#This Row],[CUOTA_ATRASADA]],1,0)</f>
        <v>0</v>
      </c>
      <c r="L89" s="7">
        <f ca="1">IF(TBL_CUOTAS[[#This Row],[CUOTA_ATRASADA]],TBL_CUOTAS[[#This Row],[MONTO_CUOTA]]-IF(TBL_CUOTAS[[#This Row],[MONTO_PAGADO]]="",0,TBL_CUOTAS[[#This Row],[MONTO_PAGADO]]),0)</f>
        <v>0</v>
      </c>
    </row>
    <row r="90" spans="1:12" x14ac:dyDescent="0.25">
      <c r="A90" s="6">
        <v>134</v>
      </c>
      <c r="B90" s="6">
        <v>1</v>
      </c>
      <c r="C90" s="8" t="s">
        <v>43</v>
      </c>
      <c r="D90" s="8" t="s">
        <v>126</v>
      </c>
      <c r="E90" s="4">
        <v>46013</v>
      </c>
      <c r="F90" s="7">
        <v>120000</v>
      </c>
      <c r="G90" t="s">
        <v>86</v>
      </c>
      <c r="I90" s="7">
        <f>IF(G90="Total",TBL_CUOTAS[[#This Row],[MONTO_CUOTA]],IF(G90="Parcial",IF(H90="",0,H90),0))</f>
        <v>0</v>
      </c>
      <c r="J90" s="7" t="b">
        <f t="shared" ca="1" si="2"/>
        <v>0</v>
      </c>
      <c r="K90" s="10">
        <f ca="1">IF(TBL_CUOTAS[[#This Row],[CUOTA_ATRASADA]],1,0)</f>
        <v>0</v>
      </c>
      <c r="L90" s="7">
        <f ca="1">IF(TBL_CUOTAS[[#This Row],[CUOTA_ATRASADA]],TBL_CUOTAS[[#This Row],[MONTO_CUOTA]]-IF(TBL_CUOTAS[[#This Row],[MONTO_PAGADO]]="",0,TBL_CUOTAS[[#This Row],[MONTO_PAGADO]]),0)</f>
        <v>0</v>
      </c>
    </row>
    <row r="91" spans="1:12" x14ac:dyDescent="0.25">
      <c r="A91" s="6">
        <v>135</v>
      </c>
      <c r="B91" s="6">
        <v>1</v>
      </c>
      <c r="C91" s="8" t="s">
        <v>44</v>
      </c>
      <c r="D91" s="8" t="s">
        <v>126</v>
      </c>
      <c r="E91" s="4">
        <v>45989</v>
      </c>
      <c r="F91" s="7">
        <v>57500</v>
      </c>
      <c r="G91" t="s">
        <v>85</v>
      </c>
      <c r="I91" s="7">
        <f>IF(G91="Total",TBL_CUOTAS[[#This Row],[MONTO_CUOTA]],IF(G91="Parcial",IF(H91="",0,H91),0))</f>
        <v>57500</v>
      </c>
      <c r="J91" s="7" t="b">
        <f t="shared" ca="1" si="2"/>
        <v>0</v>
      </c>
      <c r="K91" s="10">
        <f ca="1">IF(TBL_CUOTAS[[#This Row],[CUOTA_ATRASADA]],1,0)</f>
        <v>0</v>
      </c>
      <c r="L91" s="7">
        <f ca="1">IF(TBL_CUOTAS[[#This Row],[CUOTA_ATRASADA]],TBL_CUOTAS[[#This Row],[MONTO_CUOTA]]-IF(TBL_CUOTAS[[#This Row],[MONTO_PAGADO]]="",0,TBL_CUOTAS[[#This Row],[MONTO_PAGADO]]),0)</f>
        <v>0</v>
      </c>
    </row>
    <row r="92" spans="1:12" x14ac:dyDescent="0.25">
      <c r="A92" s="6">
        <v>135</v>
      </c>
      <c r="B92" s="6">
        <v>2</v>
      </c>
      <c r="C92" s="8" t="s">
        <v>44</v>
      </c>
      <c r="D92" s="8" t="s">
        <v>126</v>
      </c>
      <c r="E92" s="4">
        <v>45996</v>
      </c>
      <c r="F92" s="7">
        <v>57500</v>
      </c>
      <c r="G92" t="s">
        <v>85</v>
      </c>
      <c r="I92" s="7">
        <f>IF(G92="Total",TBL_CUOTAS[[#This Row],[MONTO_CUOTA]],IF(G92="Parcial",IF(H92="",0,H92),0))</f>
        <v>57500</v>
      </c>
      <c r="J92" s="7" t="b">
        <f t="shared" ca="1" si="2"/>
        <v>0</v>
      </c>
      <c r="K92" s="10">
        <f ca="1">IF(TBL_CUOTAS[[#This Row],[CUOTA_ATRASADA]],1,0)</f>
        <v>0</v>
      </c>
      <c r="L92" s="7">
        <f ca="1">IF(TBL_CUOTAS[[#This Row],[CUOTA_ATRASADA]],TBL_CUOTAS[[#This Row],[MONTO_CUOTA]]-IF(TBL_CUOTAS[[#This Row],[MONTO_PAGADO]]="",0,TBL_CUOTAS[[#This Row],[MONTO_PAGADO]]),0)</f>
        <v>0</v>
      </c>
    </row>
    <row r="93" spans="1:12" x14ac:dyDescent="0.25">
      <c r="A93" s="6">
        <v>135</v>
      </c>
      <c r="B93" s="6">
        <v>3</v>
      </c>
      <c r="C93" s="8" t="s">
        <v>44</v>
      </c>
      <c r="D93" s="8" t="s">
        <v>126</v>
      </c>
      <c r="E93" s="4">
        <v>46003</v>
      </c>
      <c r="F93" s="7">
        <v>57500</v>
      </c>
      <c r="G93" t="s">
        <v>86</v>
      </c>
      <c r="I93" s="7">
        <f>IF(G93="Total",TBL_CUOTAS[[#This Row],[MONTO_CUOTA]],IF(G93="Parcial",IF(H93="",0,H93),0))</f>
        <v>0</v>
      </c>
      <c r="J93" s="7" t="b">
        <f t="shared" ca="1" si="2"/>
        <v>0</v>
      </c>
      <c r="K93" s="10">
        <f ca="1">IF(TBL_CUOTAS[[#This Row],[CUOTA_ATRASADA]],1,0)</f>
        <v>0</v>
      </c>
      <c r="L93" s="7">
        <f ca="1">IF(TBL_CUOTAS[[#This Row],[CUOTA_ATRASADA]],TBL_CUOTAS[[#This Row],[MONTO_CUOTA]]-IF(TBL_CUOTAS[[#This Row],[MONTO_PAGADO]]="",0,TBL_CUOTAS[[#This Row],[MONTO_PAGADO]]),0)</f>
        <v>0</v>
      </c>
    </row>
    <row r="94" spans="1:12" x14ac:dyDescent="0.25">
      <c r="A94" s="6">
        <v>135</v>
      </c>
      <c r="B94" s="6">
        <v>4</v>
      </c>
      <c r="C94" s="8" t="s">
        <v>44</v>
      </c>
      <c r="D94" s="8" t="s">
        <v>126</v>
      </c>
      <c r="E94" s="4">
        <v>46010</v>
      </c>
      <c r="F94" s="7">
        <v>57500</v>
      </c>
      <c r="G94" t="s">
        <v>86</v>
      </c>
      <c r="I94" s="7">
        <f>IF(G94="Total",TBL_CUOTAS[[#This Row],[MONTO_CUOTA]],IF(G94="Parcial",IF(H94="",0,H94),0))</f>
        <v>0</v>
      </c>
      <c r="J94" s="7" t="b">
        <f t="shared" ca="1" si="2"/>
        <v>0</v>
      </c>
      <c r="K94" s="10">
        <f ca="1">IF(TBL_CUOTAS[[#This Row],[CUOTA_ATRASADA]],1,0)</f>
        <v>0</v>
      </c>
      <c r="L94" s="7">
        <f ca="1">IF(TBL_CUOTAS[[#This Row],[CUOTA_ATRASADA]],TBL_CUOTAS[[#This Row],[MONTO_CUOTA]]-IF(TBL_CUOTAS[[#This Row],[MONTO_PAGADO]]="",0,TBL_CUOTAS[[#This Row],[MONTO_PAGADO]]),0)</f>
        <v>0</v>
      </c>
    </row>
    <row r="95" spans="1:12" x14ac:dyDescent="0.25">
      <c r="A95" s="6">
        <v>136</v>
      </c>
      <c r="B95" s="6">
        <v>1</v>
      </c>
      <c r="C95" s="8" t="s">
        <v>45</v>
      </c>
      <c r="D95" s="8" t="s">
        <v>126</v>
      </c>
      <c r="E95" s="4">
        <v>46015</v>
      </c>
      <c r="F95" s="7">
        <v>120000</v>
      </c>
      <c r="G95" t="s">
        <v>86</v>
      </c>
      <c r="I95" s="7">
        <f>IF(G95="Total",TBL_CUOTAS[[#This Row],[MONTO_CUOTA]],IF(G95="Parcial",IF(H95="",0,H95),0))</f>
        <v>0</v>
      </c>
      <c r="J95" s="7" t="b">
        <f t="shared" ca="1" si="2"/>
        <v>0</v>
      </c>
      <c r="K95" s="10">
        <f ca="1">IF(TBL_CUOTAS[[#This Row],[CUOTA_ATRASADA]],1,0)</f>
        <v>0</v>
      </c>
      <c r="L95" s="7">
        <f ca="1">IF(TBL_CUOTAS[[#This Row],[CUOTA_ATRASADA]],TBL_CUOTAS[[#This Row],[MONTO_CUOTA]]-IF(TBL_CUOTAS[[#This Row],[MONTO_PAGADO]]="",0,TBL_CUOTAS[[#This Row],[MONTO_PAGADO]]),0)</f>
        <v>0</v>
      </c>
    </row>
    <row r="96" spans="1:12" x14ac:dyDescent="0.25">
      <c r="A96" s="6">
        <v>138</v>
      </c>
      <c r="B96" s="6">
        <v>1</v>
      </c>
      <c r="C96" s="8" t="s">
        <v>46</v>
      </c>
      <c r="D96" s="8" t="s">
        <v>126</v>
      </c>
      <c r="E96" s="4">
        <v>46016</v>
      </c>
      <c r="F96" s="7">
        <v>120000</v>
      </c>
      <c r="G96" t="s">
        <v>86</v>
      </c>
      <c r="I96" s="7">
        <f>IF(G96="Total",TBL_CUOTAS[[#This Row],[MONTO_CUOTA]],IF(G96="Parcial",IF(H96="",0,H96),0))</f>
        <v>0</v>
      </c>
      <c r="J96" s="7" t="b">
        <f t="shared" ca="1" si="2"/>
        <v>0</v>
      </c>
      <c r="K96" s="10">
        <f ca="1">IF(TBL_CUOTAS[[#This Row],[CUOTA_ATRASADA]],1,0)</f>
        <v>0</v>
      </c>
      <c r="L96" s="7">
        <f ca="1">IF(TBL_CUOTAS[[#This Row],[CUOTA_ATRASADA]],TBL_CUOTAS[[#This Row],[MONTO_CUOTA]]-IF(TBL_CUOTAS[[#This Row],[MONTO_PAGADO]]="",0,TBL_CUOTAS[[#This Row],[MONTO_PAGADO]]),0)</f>
        <v>0</v>
      </c>
    </row>
    <row r="97" spans="1:12" x14ac:dyDescent="0.25">
      <c r="A97" s="6">
        <v>139</v>
      </c>
      <c r="B97" s="6">
        <v>1</v>
      </c>
      <c r="C97" s="8" t="s">
        <v>47</v>
      </c>
      <c r="D97" s="8" t="s">
        <v>126</v>
      </c>
      <c r="E97" s="4">
        <v>45993</v>
      </c>
      <c r="F97" s="7">
        <v>28750</v>
      </c>
      <c r="G97" t="s">
        <v>85</v>
      </c>
      <c r="I97" s="7">
        <f>IF(G97="Total",TBL_CUOTAS[[#This Row],[MONTO_CUOTA]],IF(G97="Parcial",IF(H97="",0,H97),0))</f>
        <v>28750</v>
      </c>
      <c r="J97" s="7" t="b">
        <f t="shared" ca="1" si="2"/>
        <v>0</v>
      </c>
      <c r="K97" s="10">
        <f ca="1">IF(TBL_CUOTAS[[#This Row],[CUOTA_ATRASADA]],1,0)</f>
        <v>0</v>
      </c>
      <c r="L97" s="7">
        <f ca="1">IF(TBL_CUOTAS[[#This Row],[CUOTA_ATRASADA]],TBL_CUOTAS[[#This Row],[MONTO_CUOTA]]-IF(TBL_CUOTAS[[#This Row],[MONTO_PAGADO]]="",0,TBL_CUOTAS[[#This Row],[MONTO_PAGADO]]),0)</f>
        <v>0</v>
      </c>
    </row>
    <row r="98" spans="1:12" x14ac:dyDescent="0.25">
      <c r="A98" s="6">
        <v>139</v>
      </c>
      <c r="B98" s="6">
        <v>2</v>
      </c>
      <c r="C98" s="8" t="s">
        <v>47</v>
      </c>
      <c r="D98" s="8" t="s">
        <v>126</v>
      </c>
      <c r="E98" s="4">
        <v>46000</v>
      </c>
      <c r="F98" s="7">
        <v>28750</v>
      </c>
      <c r="G98" t="s">
        <v>86</v>
      </c>
      <c r="I98" s="7">
        <f>IF(G98="Total",TBL_CUOTAS[[#This Row],[MONTO_CUOTA]],IF(G98="Parcial",IF(H98="",0,H98),0))</f>
        <v>0</v>
      </c>
      <c r="J98" s="7" t="b">
        <f t="shared" ref="J98:J129" ca="1" si="3">AND($G98="Impago",$E98&lt;TODAY())</f>
        <v>1</v>
      </c>
      <c r="K98" s="10">
        <f ca="1">IF(TBL_CUOTAS[[#This Row],[CUOTA_ATRASADA]],1,0)</f>
        <v>1</v>
      </c>
      <c r="L98" s="7">
        <f ca="1">IF(TBL_CUOTAS[[#This Row],[CUOTA_ATRASADA]],TBL_CUOTAS[[#This Row],[MONTO_CUOTA]]-IF(TBL_CUOTAS[[#This Row],[MONTO_PAGADO]]="",0,TBL_CUOTAS[[#This Row],[MONTO_PAGADO]]),0)</f>
        <v>28750</v>
      </c>
    </row>
    <row r="99" spans="1:12" x14ac:dyDescent="0.25">
      <c r="A99" s="6">
        <v>139</v>
      </c>
      <c r="B99" s="6">
        <v>3</v>
      </c>
      <c r="C99" s="8" t="s">
        <v>47</v>
      </c>
      <c r="D99" s="8" t="s">
        <v>126</v>
      </c>
      <c r="E99" s="4">
        <v>46007</v>
      </c>
      <c r="F99" s="7">
        <v>28750</v>
      </c>
      <c r="G99" t="s">
        <v>86</v>
      </c>
      <c r="I99" s="7">
        <f>IF(G99="Total",TBL_CUOTAS[[#This Row],[MONTO_CUOTA]],IF(G99="Parcial",IF(H99="",0,H99),0))</f>
        <v>0</v>
      </c>
      <c r="J99" s="7" t="b">
        <f t="shared" ca="1" si="3"/>
        <v>0</v>
      </c>
      <c r="K99" s="10">
        <f ca="1">IF(TBL_CUOTAS[[#This Row],[CUOTA_ATRASADA]],1,0)</f>
        <v>0</v>
      </c>
      <c r="L99" s="7">
        <f ca="1">IF(TBL_CUOTAS[[#This Row],[CUOTA_ATRASADA]],TBL_CUOTAS[[#This Row],[MONTO_CUOTA]]-IF(TBL_CUOTAS[[#This Row],[MONTO_PAGADO]]="",0,TBL_CUOTAS[[#This Row],[MONTO_PAGADO]]),0)</f>
        <v>0</v>
      </c>
    </row>
    <row r="100" spans="1:12" x14ac:dyDescent="0.25">
      <c r="A100" s="6">
        <v>139</v>
      </c>
      <c r="B100" s="6">
        <v>4</v>
      </c>
      <c r="C100" s="8" t="s">
        <v>47</v>
      </c>
      <c r="D100" s="8" t="s">
        <v>126</v>
      </c>
      <c r="E100" s="4">
        <v>46014</v>
      </c>
      <c r="F100" s="7">
        <v>28750</v>
      </c>
      <c r="G100" t="s">
        <v>86</v>
      </c>
      <c r="I100" s="7">
        <f>IF(G100="Total",TBL_CUOTAS[[#This Row],[MONTO_CUOTA]],IF(G100="Parcial",IF(H100="",0,H100),0))</f>
        <v>0</v>
      </c>
      <c r="J100" s="7" t="b">
        <f t="shared" ca="1" si="3"/>
        <v>0</v>
      </c>
      <c r="K100" s="10">
        <f ca="1">IF(TBL_CUOTAS[[#This Row],[CUOTA_ATRASADA]],1,0)</f>
        <v>0</v>
      </c>
      <c r="L100" s="7">
        <f ca="1">IF(TBL_CUOTAS[[#This Row],[CUOTA_ATRASADA]],TBL_CUOTAS[[#This Row],[MONTO_CUOTA]]-IF(TBL_CUOTAS[[#This Row],[MONTO_PAGADO]]="",0,TBL_CUOTAS[[#This Row],[MONTO_PAGADO]]),0)</f>
        <v>0</v>
      </c>
    </row>
    <row r="101" spans="1:12" x14ac:dyDescent="0.25">
      <c r="A101" s="6">
        <v>140</v>
      </c>
      <c r="B101" s="6">
        <v>1</v>
      </c>
      <c r="C101" s="8" t="s">
        <v>48</v>
      </c>
      <c r="D101" s="8" t="s">
        <v>126</v>
      </c>
      <c r="E101" s="4">
        <v>46018</v>
      </c>
      <c r="F101" s="7">
        <v>120000</v>
      </c>
      <c r="G101" t="s">
        <v>86</v>
      </c>
      <c r="I101" s="7">
        <f>IF(G101="Total",TBL_CUOTAS[[#This Row],[MONTO_CUOTA]],IF(G101="Parcial",IF(H101="",0,H101),0))</f>
        <v>0</v>
      </c>
      <c r="J101" s="7" t="b">
        <f t="shared" ca="1" si="3"/>
        <v>0</v>
      </c>
      <c r="K101" s="10">
        <f ca="1">IF(TBL_CUOTAS[[#This Row],[CUOTA_ATRASADA]],1,0)</f>
        <v>0</v>
      </c>
      <c r="L101" s="7">
        <f ca="1">IF(TBL_CUOTAS[[#This Row],[CUOTA_ATRASADA]],TBL_CUOTAS[[#This Row],[MONTO_CUOTA]]-IF(TBL_CUOTAS[[#This Row],[MONTO_PAGADO]]="",0,TBL_CUOTAS[[#This Row],[MONTO_PAGADO]]),0)</f>
        <v>0</v>
      </c>
    </row>
    <row r="102" spans="1:12" x14ac:dyDescent="0.25">
      <c r="A102" s="6">
        <v>141</v>
      </c>
      <c r="B102" s="6">
        <v>1</v>
      </c>
      <c r="C102" s="8" t="s">
        <v>49</v>
      </c>
      <c r="D102" s="8" t="s">
        <v>126</v>
      </c>
      <c r="E102" s="4">
        <v>45996</v>
      </c>
      <c r="F102" s="7">
        <v>86250</v>
      </c>
      <c r="G102" t="s">
        <v>85</v>
      </c>
      <c r="I102" s="7">
        <f>IF(G102="Total",TBL_CUOTAS[[#This Row],[MONTO_CUOTA]],IF(G102="Parcial",IF(H102="",0,H102),0))</f>
        <v>86250</v>
      </c>
      <c r="J102" s="7" t="b">
        <f t="shared" ca="1" si="3"/>
        <v>0</v>
      </c>
      <c r="K102" s="10">
        <f ca="1">IF(TBL_CUOTAS[[#This Row],[CUOTA_ATRASADA]],1,0)</f>
        <v>0</v>
      </c>
      <c r="L102" s="7">
        <f ca="1">IF(TBL_CUOTAS[[#This Row],[CUOTA_ATRASADA]],TBL_CUOTAS[[#This Row],[MONTO_CUOTA]]-IF(TBL_CUOTAS[[#This Row],[MONTO_PAGADO]]="",0,TBL_CUOTAS[[#This Row],[MONTO_PAGADO]]),0)</f>
        <v>0</v>
      </c>
    </row>
    <row r="103" spans="1:12" x14ac:dyDescent="0.25">
      <c r="A103" s="6">
        <v>141</v>
      </c>
      <c r="B103" s="6">
        <v>2</v>
      </c>
      <c r="C103" s="8" t="s">
        <v>49</v>
      </c>
      <c r="D103" s="8" t="s">
        <v>126</v>
      </c>
      <c r="E103" s="4">
        <v>46003</v>
      </c>
      <c r="F103" s="7">
        <v>86250</v>
      </c>
      <c r="G103" t="s">
        <v>86</v>
      </c>
      <c r="I103" s="7">
        <f>IF(G103="Total",TBL_CUOTAS[[#This Row],[MONTO_CUOTA]],IF(G103="Parcial",IF(H103="",0,H103),0))</f>
        <v>0</v>
      </c>
      <c r="J103" s="7" t="b">
        <f t="shared" ca="1" si="3"/>
        <v>0</v>
      </c>
      <c r="K103" s="10">
        <f ca="1">IF(TBL_CUOTAS[[#This Row],[CUOTA_ATRASADA]],1,0)</f>
        <v>0</v>
      </c>
      <c r="L103" s="7">
        <f ca="1">IF(TBL_CUOTAS[[#This Row],[CUOTA_ATRASADA]],TBL_CUOTAS[[#This Row],[MONTO_CUOTA]]-IF(TBL_CUOTAS[[#This Row],[MONTO_PAGADO]]="",0,TBL_CUOTAS[[#This Row],[MONTO_PAGADO]]),0)</f>
        <v>0</v>
      </c>
    </row>
    <row r="104" spans="1:12" x14ac:dyDescent="0.25">
      <c r="A104" s="6">
        <v>141</v>
      </c>
      <c r="B104" s="6">
        <v>3</v>
      </c>
      <c r="C104" s="8" t="s">
        <v>49</v>
      </c>
      <c r="D104" s="8" t="s">
        <v>126</v>
      </c>
      <c r="E104" s="4">
        <v>46010</v>
      </c>
      <c r="F104" s="7">
        <v>86250</v>
      </c>
      <c r="G104" t="s">
        <v>86</v>
      </c>
      <c r="I104" s="7">
        <f>IF(G104="Total",TBL_CUOTAS[[#This Row],[MONTO_CUOTA]],IF(G104="Parcial",IF(H104="",0,H104),0))</f>
        <v>0</v>
      </c>
      <c r="J104" s="7" t="b">
        <f t="shared" ca="1" si="3"/>
        <v>0</v>
      </c>
      <c r="K104" s="10">
        <f ca="1">IF(TBL_CUOTAS[[#This Row],[CUOTA_ATRASADA]],1,0)</f>
        <v>0</v>
      </c>
      <c r="L104" s="7">
        <f ca="1">IF(TBL_CUOTAS[[#This Row],[CUOTA_ATRASADA]],TBL_CUOTAS[[#This Row],[MONTO_CUOTA]]-IF(TBL_CUOTAS[[#This Row],[MONTO_PAGADO]]="",0,TBL_CUOTAS[[#This Row],[MONTO_PAGADO]]),0)</f>
        <v>0</v>
      </c>
    </row>
    <row r="105" spans="1:12" x14ac:dyDescent="0.25">
      <c r="A105" s="6">
        <v>141</v>
      </c>
      <c r="B105" s="6">
        <v>4</v>
      </c>
      <c r="C105" s="8" t="s">
        <v>49</v>
      </c>
      <c r="D105" s="8" t="s">
        <v>126</v>
      </c>
      <c r="E105" s="4">
        <v>46017</v>
      </c>
      <c r="F105" s="7">
        <v>86250</v>
      </c>
      <c r="G105" t="s">
        <v>86</v>
      </c>
      <c r="I105" s="7">
        <f>IF(G105="Total",TBL_CUOTAS[[#This Row],[MONTO_CUOTA]],IF(G105="Parcial",IF(H105="",0,H105),0))</f>
        <v>0</v>
      </c>
      <c r="J105" s="7" t="b">
        <f t="shared" ca="1" si="3"/>
        <v>0</v>
      </c>
      <c r="K105" s="10">
        <f ca="1">IF(TBL_CUOTAS[[#This Row],[CUOTA_ATRASADA]],1,0)</f>
        <v>0</v>
      </c>
      <c r="L105" s="7">
        <f ca="1">IF(TBL_CUOTAS[[#This Row],[CUOTA_ATRASADA]],TBL_CUOTAS[[#This Row],[MONTO_CUOTA]]-IF(TBL_CUOTAS[[#This Row],[MONTO_PAGADO]]="",0,TBL_CUOTAS[[#This Row],[MONTO_PAGADO]]),0)</f>
        <v>0</v>
      </c>
    </row>
    <row r="106" spans="1:12" x14ac:dyDescent="0.25">
      <c r="A106" s="6">
        <v>142</v>
      </c>
      <c r="B106" s="6">
        <v>1</v>
      </c>
      <c r="C106" s="8" t="s">
        <v>50</v>
      </c>
      <c r="D106" s="8" t="s">
        <v>126</v>
      </c>
      <c r="E106" s="4">
        <v>46020</v>
      </c>
      <c r="F106" s="7">
        <v>120000</v>
      </c>
      <c r="G106" t="s">
        <v>86</v>
      </c>
      <c r="I106" s="7">
        <f>IF(G106="Total",TBL_CUOTAS[[#This Row],[MONTO_CUOTA]],IF(G106="Parcial",IF(H106="",0,H106),0))</f>
        <v>0</v>
      </c>
      <c r="J106" s="7" t="b">
        <f t="shared" ca="1" si="3"/>
        <v>0</v>
      </c>
      <c r="K106" s="10">
        <f ca="1">IF(TBL_CUOTAS[[#This Row],[CUOTA_ATRASADA]],1,0)</f>
        <v>0</v>
      </c>
      <c r="L106" s="7">
        <f ca="1">IF(TBL_CUOTAS[[#This Row],[CUOTA_ATRASADA]],TBL_CUOTAS[[#This Row],[MONTO_CUOTA]]-IF(TBL_CUOTAS[[#This Row],[MONTO_PAGADO]]="",0,TBL_CUOTAS[[#This Row],[MONTO_PAGADO]]),0)</f>
        <v>0</v>
      </c>
    </row>
    <row r="107" spans="1:12" x14ac:dyDescent="0.25">
      <c r="A107" s="6">
        <v>143</v>
      </c>
      <c r="B107" s="6">
        <v>1</v>
      </c>
      <c r="C107" s="8" t="s">
        <v>51</v>
      </c>
      <c r="D107" s="8" t="s">
        <v>126</v>
      </c>
      <c r="E107" s="4">
        <v>46020</v>
      </c>
      <c r="F107" s="7">
        <v>120000</v>
      </c>
      <c r="G107" t="s">
        <v>86</v>
      </c>
      <c r="I107" s="7">
        <f>IF(G107="Total",TBL_CUOTAS[[#This Row],[MONTO_CUOTA]],IF(G107="Parcial",IF(H107="",0,H107),0))</f>
        <v>0</v>
      </c>
      <c r="J107" s="7" t="b">
        <f t="shared" ca="1" si="3"/>
        <v>0</v>
      </c>
      <c r="K107" s="10">
        <f ca="1">IF(TBL_CUOTAS[[#This Row],[CUOTA_ATRASADA]],1,0)</f>
        <v>0</v>
      </c>
      <c r="L107" s="7">
        <f ca="1">IF(TBL_CUOTAS[[#This Row],[CUOTA_ATRASADA]],TBL_CUOTAS[[#This Row],[MONTO_CUOTA]]-IF(TBL_CUOTAS[[#This Row],[MONTO_PAGADO]]="",0,TBL_CUOTAS[[#This Row],[MONTO_PAGADO]]),0)</f>
        <v>0</v>
      </c>
    </row>
    <row r="108" spans="1:12" x14ac:dyDescent="0.25">
      <c r="A108" s="6">
        <v>144</v>
      </c>
      <c r="B108" s="6">
        <v>1</v>
      </c>
      <c r="C108" s="8" t="s">
        <v>52</v>
      </c>
      <c r="D108" s="8" t="s">
        <v>126</v>
      </c>
      <c r="E108" s="4">
        <v>46020</v>
      </c>
      <c r="F108" s="7">
        <v>360000</v>
      </c>
      <c r="G108" t="s">
        <v>86</v>
      </c>
      <c r="I108" s="7">
        <f>IF(G108="Total",TBL_CUOTAS[[#This Row],[MONTO_CUOTA]],IF(G108="Parcial",IF(H108="",0,H108),0))</f>
        <v>0</v>
      </c>
      <c r="J108" s="7" t="b">
        <f t="shared" ca="1" si="3"/>
        <v>0</v>
      </c>
      <c r="K108" s="10">
        <f ca="1">IF(TBL_CUOTAS[[#This Row],[CUOTA_ATRASADA]],1,0)</f>
        <v>0</v>
      </c>
      <c r="L108" s="7">
        <f ca="1">IF(TBL_CUOTAS[[#This Row],[CUOTA_ATRASADA]],TBL_CUOTAS[[#This Row],[MONTO_CUOTA]]-IF(TBL_CUOTAS[[#This Row],[MONTO_PAGADO]]="",0,TBL_CUOTAS[[#This Row],[MONTO_PAGADO]]),0)</f>
        <v>0</v>
      </c>
    </row>
    <row r="109" spans="1:12" x14ac:dyDescent="0.25">
      <c r="A109" s="6">
        <v>145</v>
      </c>
      <c r="B109" s="6">
        <v>1</v>
      </c>
      <c r="C109" s="8" t="s">
        <v>53</v>
      </c>
      <c r="D109" s="8" t="s">
        <v>126</v>
      </c>
      <c r="E109" s="4">
        <v>45996</v>
      </c>
      <c r="F109" s="7">
        <v>43125</v>
      </c>
      <c r="G109" t="s">
        <v>85</v>
      </c>
      <c r="I109" s="7">
        <f>IF(G109="Total",TBL_CUOTAS[[#This Row],[MONTO_CUOTA]],IF(G109="Parcial",IF(H109="",0,H109),0))</f>
        <v>43125</v>
      </c>
      <c r="J109" s="7" t="b">
        <f t="shared" ca="1" si="3"/>
        <v>0</v>
      </c>
      <c r="K109" s="10">
        <f ca="1">IF(TBL_CUOTAS[[#This Row],[CUOTA_ATRASADA]],1,0)</f>
        <v>0</v>
      </c>
      <c r="L109" s="7">
        <f ca="1">IF(TBL_CUOTAS[[#This Row],[CUOTA_ATRASADA]],TBL_CUOTAS[[#This Row],[MONTO_CUOTA]]-IF(TBL_CUOTAS[[#This Row],[MONTO_PAGADO]]="",0,TBL_CUOTAS[[#This Row],[MONTO_PAGADO]]),0)</f>
        <v>0</v>
      </c>
    </row>
    <row r="110" spans="1:12" x14ac:dyDescent="0.25">
      <c r="A110" s="6">
        <v>145</v>
      </c>
      <c r="B110" s="6">
        <v>2</v>
      </c>
      <c r="C110" s="8" t="s">
        <v>53</v>
      </c>
      <c r="D110" s="8" t="s">
        <v>126</v>
      </c>
      <c r="E110" s="4">
        <v>46006</v>
      </c>
      <c r="F110" s="7">
        <v>43125</v>
      </c>
      <c r="G110" t="s">
        <v>86</v>
      </c>
      <c r="I110" s="7">
        <f>IF(G110="Total",TBL_CUOTAS[[#This Row],[MONTO_CUOTA]],IF(G110="Parcial",IF(H110="",0,H110),0))</f>
        <v>0</v>
      </c>
      <c r="J110" s="7" t="b">
        <f t="shared" ca="1" si="3"/>
        <v>0</v>
      </c>
      <c r="K110" s="10">
        <f ca="1">IF(TBL_CUOTAS[[#This Row],[CUOTA_ATRASADA]],1,0)</f>
        <v>0</v>
      </c>
      <c r="L110" s="7">
        <f ca="1">IF(TBL_CUOTAS[[#This Row],[CUOTA_ATRASADA]],TBL_CUOTAS[[#This Row],[MONTO_CUOTA]]-IF(TBL_CUOTAS[[#This Row],[MONTO_PAGADO]]="",0,TBL_CUOTAS[[#This Row],[MONTO_PAGADO]]),0)</f>
        <v>0</v>
      </c>
    </row>
    <row r="111" spans="1:12" x14ac:dyDescent="0.25">
      <c r="A111" s="6">
        <v>145</v>
      </c>
      <c r="B111" s="6">
        <v>3</v>
      </c>
      <c r="C111" s="8" t="s">
        <v>53</v>
      </c>
      <c r="D111" s="8" t="s">
        <v>126</v>
      </c>
      <c r="E111" s="4">
        <v>46013</v>
      </c>
      <c r="F111" s="7">
        <v>43125</v>
      </c>
      <c r="G111" t="s">
        <v>86</v>
      </c>
      <c r="I111" s="7">
        <f>IF(G111="Total",TBL_CUOTAS[[#This Row],[MONTO_CUOTA]],IF(G111="Parcial",IF(H111="",0,H111),0))</f>
        <v>0</v>
      </c>
      <c r="J111" s="7" t="b">
        <f t="shared" ca="1" si="3"/>
        <v>0</v>
      </c>
      <c r="K111" s="10">
        <f ca="1">IF(TBL_CUOTAS[[#This Row],[CUOTA_ATRASADA]],1,0)</f>
        <v>0</v>
      </c>
      <c r="L111" s="7">
        <f ca="1">IF(TBL_CUOTAS[[#This Row],[CUOTA_ATRASADA]],TBL_CUOTAS[[#This Row],[MONTO_CUOTA]]-IF(TBL_CUOTAS[[#This Row],[MONTO_PAGADO]]="",0,TBL_CUOTAS[[#This Row],[MONTO_PAGADO]]),0)</f>
        <v>0</v>
      </c>
    </row>
    <row r="112" spans="1:12" x14ac:dyDescent="0.25">
      <c r="A112" s="6">
        <v>145</v>
      </c>
      <c r="B112" s="6">
        <v>4</v>
      </c>
      <c r="C112" s="8" t="s">
        <v>53</v>
      </c>
      <c r="D112" s="8" t="s">
        <v>126</v>
      </c>
      <c r="E112" s="4">
        <v>46021</v>
      </c>
      <c r="F112" s="7">
        <v>43125</v>
      </c>
      <c r="G112" t="s">
        <v>86</v>
      </c>
      <c r="I112" s="7">
        <f>IF(G112="Total",TBL_CUOTAS[[#This Row],[MONTO_CUOTA]],IF(G112="Parcial",IF(H112="",0,H112),0))</f>
        <v>0</v>
      </c>
      <c r="J112" s="7" t="b">
        <f t="shared" ca="1" si="3"/>
        <v>0</v>
      </c>
      <c r="K112" s="10">
        <f ca="1">IF(TBL_CUOTAS[[#This Row],[CUOTA_ATRASADA]],1,0)</f>
        <v>0</v>
      </c>
      <c r="L112" s="7">
        <f ca="1">IF(TBL_CUOTAS[[#This Row],[CUOTA_ATRASADA]],TBL_CUOTAS[[#This Row],[MONTO_CUOTA]]-IF(TBL_CUOTAS[[#This Row],[MONTO_PAGADO]]="",0,TBL_CUOTAS[[#This Row],[MONTO_PAGADO]]),0)</f>
        <v>0</v>
      </c>
    </row>
    <row r="113" spans="1:12" x14ac:dyDescent="0.25">
      <c r="A113" s="6">
        <v>146</v>
      </c>
      <c r="B113" s="6">
        <v>1</v>
      </c>
      <c r="C113" s="8" t="s">
        <v>54</v>
      </c>
      <c r="D113" s="8" t="s">
        <v>126</v>
      </c>
      <c r="E113" s="4">
        <v>45996</v>
      </c>
      <c r="F113" s="7">
        <v>57500</v>
      </c>
      <c r="G113" t="s">
        <v>85</v>
      </c>
      <c r="I113" s="7">
        <f>IF(G113="Total",TBL_CUOTAS[[#This Row],[MONTO_CUOTA]],IF(G113="Parcial",IF(H113="",0,H113),0))</f>
        <v>57500</v>
      </c>
      <c r="J113" s="7" t="b">
        <f t="shared" ca="1" si="3"/>
        <v>0</v>
      </c>
      <c r="K113" s="10">
        <f ca="1">IF(TBL_CUOTAS[[#This Row],[CUOTA_ATRASADA]],1,0)</f>
        <v>0</v>
      </c>
      <c r="L113" s="7">
        <f ca="1">IF(TBL_CUOTAS[[#This Row],[CUOTA_ATRASADA]],TBL_CUOTAS[[#This Row],[MONTO_CUOTA]]-IF(TBL_CUOTAS[[#This Row],[MONTO_PAGADO]]="",0,TBL_CUOTAS[[#This Row],[MONTO_PAGADO]]),0)</f>
        <v>0</v>
      </c>
    </row>
    <row r="114" spans="1:12" x14ac:dyDescent="0.25">
      <c r="A114" s="6">
        <v>146</v>
      </c>
      <c r="B114" s="6">
        <v>2</v>
      </c>
      <c r="C114" s="8" t="s">
        <v>54</v>
      </c>
      <c r="D114" s="8" t="s">
        <v>126</v>
      </c>
      <c r="E114" s="4">
        <v>46003</v>
      </c>
      <c r="F114" s="7">
        <v>57500</v>
      </c>
      <c r="G114" t="s">
        <v>86</v>
      </c>
      <c r="I114" s="7">
        <f>IF(G114="Total",TBL_CUOTAS[[#This Row],[MONTO_CUOTA]],IF(G114="Parcial",IF(H114="",0,H114),0))</f>
        <v>0</v>
      </c>
      <c r="J114" s="7" t="b">
        <f t="shared" ca="1" si="3"/>
        <v>0</v>
      </c>
      <c r="K114" s="10">
        <f ca="1">IF(TBL_CUOTAS[[#This Row],[CUOTA_ATRASADA]],1,0)</f>
        <v>0</v>
      </c>
      <c r="L114" s="7">
        <f ca="1">IF(TBL_CUOTAS[[#This Row],[CUOTA_ATRASADA]],TBL_CUOTAS[[#This Row],[MONTO_CUOTA]]-IF(TBL_CUOTAS[[#This Row],[MONTO_PAGADO]]="",0,TBL_CUOTAS[[#This Row],[MONTO_PAGADO]]),0)</f>
        <v>0</v>
      </c>
    </row>
    <row r="115" spans="1:12" x14ac:dyDescent="0.25">
      <c r="A115" s="6">
        <v>146</v>
      </c>
      <c r="B115" s="6">
        <v>3</v>
      </c>
      <c r="C115" s="8" t="s">
        <v>54</v>
      </c>
      <c r="D115" s="8" t="s">
        <v>126</v>
      </c>
      <c r="E115" s="4">
        <v>46010</v>
      </c>
      <c r="F115" s="7">
        <v>57500</v>
      </c>
      <c r="G115" t="s">
        <v>86</v>
      </c>
      <c r="I115" s="7">
        <f>IF(G115="Total",TBL_CUOTAS[[#This Row],[MONTO_CUOTA]],IF(G115="Parcial",IF(H115="",0,H115),0))</f>
        <v>0</v>
      </c>
      <c r="J115" s="7" t="b">
        <f t="shared" ca="1" si="3"/>
        <v>0</v>
      </c>
      <c r="K115" s="10">
        <f ca="1">IF(TBL_CUOTAS[[#This Row],[CUOTA_ATRASADA]],1,0)</f>
        <v>0</v>
      </c>
      <c r="L115" s="7">
        <f ca="1">IF(TBL_CUOTAS[[#This Row],[CUOTA_ATRASADA]],TBL_CUOTAS[[#This Row],[MONTO_CUOTA]]-IF(TBL_CUOTAS[[#This Row],[MONTO_PAGADO]]="",0,TBL_CUOTAS[[#This Row],[MONTO_PAGADO]]),0)</f>
        <v>0</v>
      </c>
    </row>
    <row r="116" spans="1:12" x14ac:dyDescent="0.25">
      <c r="A116" s="6">
        <v>146</v>
      </c>
      <c r="B116" s="6">
        <v>4</v>
      </c>
      <c r="C116" s="8" t="s">
        <v>54</v>
      </c>
      <c r="D116" s="8" t="s">
        <v>126</v>
      </c>
      <c r="E116" s="4">
        <v>46017</v>
      </c>
      <c r="F116" s="7">
        <v>57500</v>
      </c>
      <c r="G116" t="s">
        <v>86</v>
      </c>
      <c r="I116" s="7">
        <f>IF(G116="Total",TBL_CUOTAS[[#This Row],[MONTO_CUOTA]],IF(G116="Parcial",IF(H116="",0,H116),0))</f>
        <v>0</v>
      </c>
      <c r="J116" s="7" t="b">
        <f t="shared" ca="1" si="3"/>
        <v>0</v>
      </c>
      <c r="K116" s="10">
        <f ca="1">IF(TBL_CUOTAS[[#This Row],[CUOTA_ATRASADA]],1,0)</f>
        <v>0</v>
      </c>
      <c r="L116" s="7">
        <f ca="1">IF(TBL_CUOTAS[[#This Row],[CUOTA_ATRASADA]],TBL_CUOTAS[[#This Row],[MONTO_CUOTA]]-IF(TBL_CUOTAS[[#This Row],[MONTO_PAGADO]]="",0,TBL_CUOTAS[[#This Row],[MONTO_PAGADO]]),0)</f>
        <v>0</v>
      </c>
    </row>
    <row r="117" spans="1:12" x14ac:dyDescent="0.25">
      <c r="A117" s="6">
        <v>147</v>
      </c>
      <c r="B117" s="6">
        <v>1</v>
      </c>
      <c r="C117" s="8" t="s">
        <v>55</v>
      </c>
      <c r="D117" s="8" t="s">
        <v>129</v>
      </c>
      <c r="E117" s="4">
        <v>46020</v>
      </c>
      <c r="F117" s="7">
        <v>300000</v>
      </c>
      <c r="G117" t="s">
        <v>86</v>
      </c>
      <c r="I117" s="7">
        <f>IF(G117="Total",TBL_CUOTAS[[#This Row],[MONTO_CUOTA]],IF(G117="Parcial",IF(H117="",0,H117),0))</f>
        <v>0</v>
      </c>
      <c r="J117" s="7" t="b">
        <f t="shared" ca="1" si="3"/>
        <v>0</v>
      </c>
      <c r="K117" s="10">
        <f ca="1">IF(TBL_CUOTAS[[#This Row],[CUOTA_ATRASADA]],1,0)</f>
        <v>0</v>
      </c>
      <c r="L117" s="7">
        <f ca="1">IF(TBL_CUOTAS[[#This Row],[CUOTA_ATRASADA]],TBL_CUOTAS[[#This Row],[MONTO_CUOTA]]-IF(TBL_CUOTAS[[#This Row],[MONTO_PAGADO]]="",0,TBL_CUOTAS[[#This Row],[MONTO_PAGADO]]),0)</f>
        <v>0</v>
      </c>
    </row>
    <row r="118" spans="1:12" x14ac:dyDescent="0.25">
      <c r="A118" s="6">
        <v>149</v>
      </c>
      <c r="B118" s="6">
        <v>1</v>
      </c>
      <c r="C118" s="8" t="s">
        <v>56</v>
      </c>
      <c r="D118" s="8" t="s">
        <v>126</v>
      </c>
      <c r="E118" s="4">
        <v>46023</v>
      </c>
      <c r="F118" s="7">
        <v>180000</v>
      </c>
      <c r="G118" t="s">
        <v>86</v>
      </c>
      <c r="I118" s="7">
        <f>IF(G118="Total",TBL_CUOTAS[[#This Row],[MONTO_CUOTA]],IF(G118="Parcial",IF(H118="",0,H118),0))</f>
        <v>0</v>
      </c>
      <c r="J118" s="7" t="b">
        <f t="shared" ca="1" si="3"/>
        <v>0</v>
      </c>
      <c r="K118" s="10">
        <f ca="1">IF(TBL_CUOTAS[[#This Row],[CUOTA_ATRASADA]],1,0)</f>
        <v>0</v>
      </c>
      <c r="L118" s="7">
        <f ca="1">IF(TBL_CUOTAS[[#This Row],[CUOTA_ATRASADA]],TBL_CUOTAS[[#This Row],[MONTO_CUOTA]]-IF(TBL_CUOTAS[[#This Row],[MONTO_PAGADO]]="",0,TBL_CUOTAS[[#This Row],[MONTO_PAGADO]]),0)</f>
        <v>0</v>
      </c>
    </row>
    <row r="119" spans="1:12" x14ac:dyDescent="0.25">
      <c r="A119" s="6">
        <v>150</v>
      </c>
      <c r="B119" s="6">
        <v>1</v>
      </c>
      <c r="C119" s="8" t="s">
        <v>57</v>
      </c>
      <c r="D119" s="8" t="s">
        <v>126</v>
      </c>
      <c r="E119" s="4">
        <v>46023</v>
      </c>
      <c r="F119" s="7">
        <v>283500</v>
      </c>
      <c r="G119" t="s">
        <v>85</v>
      </c>
      <c r="I119" s="7">
        <f>IF(G119="Total",TBL_CUOTAS[[#This Row],[MONTO_CUOTA]],IF(G119="Parcial",IF(H119="",0,H119),0))</f>
        <v>283500</v>
      </c>
      <c r="J119" s="7" t="b">
        <f t="shared" ca="1" si="3"/>
        <v>0</v>
      </c>
      <c r="K119" s="10">
        <f ca="1">IF(TBL_CUOTAS[[#This Row],[CUOTA_ATRASADA]],1,0)</f>
        <v>0</v>
      </c>
      <c r="L119" s="7">
        <f ca="1">IF(TBL_CUOTAS[[#This Row],[CUOTA_ATRASADA]],TBL_CUOTAS[[#This Row],[MONTO_CUOTA]]-IF(TBL_CUOTAS[[#This Row],[MONTO_PAGADO]]="",0,TBL_CUOTAS[[#This Row],[MONTO_PAGADO]]),0)</f>
        <v>0</v>
      </c>
    </row>
    <row r="120" spans="1:12" x14ac:dyDescent="0.25">
      <c r="A120" s="6">
        <v>151</v>
      </c>
      <c r="B120" s="6">
        <v>1</v>
      </c>
      <c r="C120" s="8" t="s">
        <v>58</v>
      </c>
      <c r="D120" s="8" t="s">
        <v>126</v>
      </c>
      <c r="E120" s="4">
        <v>46023</v>
      </c>
      <c r="F120" s="7">
        <v>60000</v>
      </c>
      <c r="G120" t="s">
        <v>86</v>
      </c>
      <c r="I120" s="7">
        <f>IF(G120="Total",TBL_CUOTAS[[#This Row],[MONTO_CUOTA]],IF(G120="Parcial",IF(H120="",0,H120),0))</f>
        <v>0</v>
      </c>
      <c r="J120" s="7" t="b">
        <f t="shared" ca="1" si="3"/>
        <v>0</v>
      </c>
      <c r="K120" s="10">
        <f ca="1">IF(TBL_CUOTAS[[#This Row],[CUOTA_ATRASADA]],1,0)</f>
        <v>0</v>
      </c>
      <c r="L120" s="7">
        <f ca="1">IF(TBL_CUOTAS[[#This Row],[CUOTA_ATRASADA]],TBL_CUOTAS[[#This Row],[MONTO_CUOTA]]-IF(TBL_CUOTAS[[#This Row],[MONTO_PAGADO]]="",0,TBL_CUOTAS[[#This Row],[MONTO_PAGADO]]),0)</f>
        <v>0</v>
      </c>
    </row>
    <row r="121" spans="1:12" x14ac:dyDescent="0.25">
      <c r="A121" s="6">
        <v>152</v>
      </c>
      <c r="B121" s="6">
        <v>1</v>
      </c>
      <c r="C121" s="8" t="s">
        <v>59</v>
      </c>
      <c r="D121" s="8" t="s">
        <v>126</v>
      </c>
      <c r="E121" s="4">
        <v>46024</v>
      </c>
      <c r="F121" s="7">
        <v>-84000</v>
      </c>
      <c r="G121" t="s">
        <v>86</v>
      </c>
      <c r="I121" s="7">
        <f>IF(G121="Total",TBL_CUOTAS[[#This Row],[MONTO_CUOTA]],IF(G121="Parcial",IF(H121="",0,H121),0))</f>
        <v>0</v>
      </c>
      <c r="J121" s="7" t="b">
        <f t="shared" ca="1" si="3"/>
        <v>0</v>
      </c>
      <c r="K121" s="10">
        <f ca="1">IF(TBL_CUOTAS[[#This Row],[CUOTA_ATRASADA]],1,0)</f>
        <v>0</v>
      </c>
      <c r="L121" s="7">
        <f ca="1">IF(TBL_CUOTAS[[#This Row],[CUOTA_ATRASADA]],TBL_CUOTAS[[#This Row],[MONTO_CUOTA]]-IF(TBL_CUOTAS[[#This Row],[MONTO_PAGADO]]="",0,TBL_CUOTAS[[#This Row],[MONTO_PAGADO]]),0)</f>
        <v>0</v>
      </c>
    </row>
    <row r="122" spans="1:12" x14ac:dyDescent="0.25">
      <c r="A122" s="6">
        <v>153</v>
      </c>
      <c r="B122" s="6">
        <v>1</v>
      </c>
      <c r="C122" s="8" t="s">
        <v>20</v>
      </c>
      <c r="D122" s="8" t="s">
        <v>126</v>
      </c>
      <c r="E122" s="4">
        <v>46024</v>
      </c>
      <c r="F122" s="7">
        <v>120000</v>
      </c>
      <c r="G122" t="s">
        <v>86</v>
      </c>
      <c r="I122" s="7">
        <f>IF(G122="Total",TBL_CUOTAS[[#This Row],[MONTO_CUOTA]],IF(G122="Parcial",IF(H122="",0,H122),0))</f>
        <v>0</v>
      </c>
      <c r="J122" s="7" t="b">
        <f t="shared" ca="1" si="3"/>
        <v>0</v>
      </c>
      <c r="K122" s="10">
        <f ca="1">IF(TBL_CUOTAS[[#This Row],[CUOTA_ATRASADA]],1,0)</f>
        <v>0</v>
      </c>
      <c r="L122" s="7">
        <f ca="1">IF(TBL_CUOTAS[[#This Row],[CUOTA_ATRASADA]],TBL_CUOTAS[[#This Row],[MONTO_CUOTA]]-IF(TBL_CUOTAS[[#This Row],[MONTO_PAGADO]]="",0,TBL_CUOTAS[[#This Row],[MONTO_PAGADO]]),0)</f>
        <v>0</v>
      </c>
    </row>
    <row r="123" spans="1:12" x14ac:dyDescent="0.25">
      <c r="A123" s="6">
        <v>154</v>
      </c>
      <c r="B123" s="6">
        <v>1</v>
      </c>
      <c r="C123" s="8" t="s">
        <v>60</v>
      </c>
      <c r="D123" s="8" t="s">
        <v>126</v>
      </c>
      <c r="E123" s="4">
        <v>46001</v>
      </c>
      <c r="F123" s="7">
        <v>28750</v>
      </c>
      <c r="G123" t="s">
        <v>86</v>
      </c>
      <c r="I123" s="7">
        <f>IF(G123="Total",TBL_CUOTAS[[#This Row],[MONTO_CUOTA]],IF(G123="Parcial",IF(H123="",0,H123),0))</f>
        <v>0</v>
      </c>
      <c r="J123" s="7" t="b">
        <f t="shared" ca="1" si="3"/>
        <v>1</v>
      </c>
      <c r="K123" s="10">
        <f ca="1">IF(TBL_CUOTAS[[#This Row],[CUOTA_ATRASADA]],1,0)</f>
        <v>1</v>
      </c>
      <c r="L123" s="7">
        <f ca="1">IF(TBL_CUOTAS[[#This Row],[CUOTA_ATRASADA]],TBL_CUOTAS[[#This Row],[MONTO_CUOTA]]-IF(TBL_CUOTAS[[#This Row],[MONTO_PAGADO]]="",0,TBL_CUOTAS[[#This Row],[MONTO_PAGADO]]),0)</f>
        <v>28750</v>
      </c>
    </row>
    <row r="124" spans="1:12" x14ac:dyDescent="0.25">
      <c r="A124" s="6">
        <v>154</v>
      </c>
      <c r="B124" s="6">
        <v>2</v>
      </c>
      <c r="C124" s="8" t="s">
        <v>60</v>
      </c>
      <c r="D124" s="8" t="s">
        <v>126</v>
      </c>
      <c r="E124" s="4">
        <v>46008</v>
      </c>
      <c r="F124" s="7">
        <v>28750</v>
      </c>
      <c r="G124" t="s">
        <v>86</v>
      </c>
      <c r="I124" s="7">
        <f>IF(G124="Total",TBL_CUOTAS[[#This Row],[MONTO_CUOTA]],IF(G124="Parcial",IF(H124="",0,H124),0))</f>
        <v>0</v>
      </c>
      <c r="J124" s="7" t="b">
        <f t="shared" ca="1" si="3"/>
        <v>0</v>
      </c>
      <c r="K124" s="10">
        <f ca="1">IF(TBL_CUOTAS[[#This Row],[CUOTA_ATRASADA]],1,0)</f>
        <v>0</v>
      </c>
      <c r="L124" s="7">
        <f ca="1">IF(TBL_CUOTAS[[#This Row],[CUOTA_ATRASADA]],TBL_CUOTAS[[#This Row],[MONTO_CUOTA]]-IF(TBL_CUOTAS[[#This Row],[MONTO_PAGADO]]="",0,TBL_CUOTAS[[#This Row],[MONTO_PAGADO]]),0)</f>
        <v>0</v>
      </c>
    </row>
    <row r="125" spans="1:12" x14ac:dyDescent="0.25">
      <c r="A125" s="6">
        <v>154</v>
      </c>
      <c r="B125" s="6">
        <v>3</v>
      </c>
      <c r="C125" s="8" t="s">
        <v>60</v>
      </c>
      <c r="D125" s="8" t="s">
        <v>126</v>
      </c>
      <c r="E125" s="4">
        <v>46015</v>
      </c>
      <c r="F125" s="7">
        <v>28750</v>
      </c>
      <c r="G125" t="s">
        <v>86</v>
      </c>
      <c r="I125" s="7">
        <f>IF(G125="Total",TBL_CUOTAS[[#This Row],[MONTO_CUOTA]],IF(G125="Parcial",IF(H125="",0,H125),0))</f>
        <v>0</v>
      </c>
      <c r="J125" s="7" t="b">
        <f t="shared" ca="1" si="3"/>
        <v>0</v>
      </c>
      <c r="K125" s="10">
        <f ca="1">IF(TBL_CUOTAS[[#This Row],[CUOTA_ATRASADA]],1,0)</f>
        <v>0</v>
      </c>
      <c r="L125" s="7">
        <f ca="1">IF(TBL_CUOTAS[[#This Row],[CUOTA_ATRASADA]],TBL_CUOTAS[[#This Row],[MONTO_CUOTA]]-IF(TBL_CUOTAS[[#This Row],[MONTO_PAGADO]]="",0,TBL_CUOTAS[[#This Row],[MONTO_PAGADO]]),0)</f>
        <v>0</v>
      </c>
    </row>
    <row r="126" spans="1:12" x14ac:dyDescent="0.25">
      <c r="A126" s="6">
        <v>154</v>
      </c>
      <c r="B126" s="6">
        <v>4</v>
      </c>
      <c r="C126" s="8" t="s">
        <v>60</v>
      </c>
      <c r="D126" s="8" t="s">
        <v>126</v>
      </c>
      <c r="E126" s="4">
        <v>46022</v>
      </c>
      <c r="F126" s="7">
        <v>28750</v>
      </c>
      <c r="G126" t="s">
        <v>86</v>
      </c>
      <c r="I126" s="7">
        <f>IF(G126="Total",TBL_CUOTAS[[#This Row],[MONTO_CUOTA]],IF(G126="Parcial",IF(H126="",0,H126),0))</f>
        <v>0</v>
      </c>
      <c r="J126" s="7" t="b">
        <f t="shared" ca="1" si="3"/>
        <v>0</v>
      </c>
      <c r="K126" s="10">
        <f ca="1">IF(TBL_CUOTAS[[#This Row],[CUOTA_ATRASADA]],1,0)</f>
        <v>0</v>
      </c>
      <c r="L126" s="7">
        <f ca="1">IF(TBL_CUOTAS[[#This Row],[CUOTA_ATRASADA]],TBL_CUOTAS[[#This Row],[MONTO_CUOTA]]-IF(TBL_CUOTAS[[#This Row],[MONTO_PAGADO]]="",0,TBL_CUOTAS[[#This Row],[MONTO_PAGADO]]),0)</f>
        <v>0</v>
      </c>
    </row>
    <row r="127" spans="1:12" x14ac:dyDescent="0.25">
      <c r="A127" s="6">
        <v>155</v>
      </c>
      <c r="B127" s="6">
        <v>1</v>
      </c>
      <c r="C127" s="8" t="s">
        <v>61</v>
      </c>
      <c r="D127" s="8" t="s">
        <v>126</v>
      </c>
      <c r="E127" s="4">
        <v>46023</v>
      </c>
      <c r="F127" s="7">
        <v>204000</v>
      </c>
      <c r="G127" t="s">
        <v>86</v>
      </c>
      <c r="I127" s="7">
        <f>IF(G127="Total",TBL_CUOTAS[[#This Row],[MONTO_CUOTA]],IF(G127="Parcial",IF(H127="",0,H127),0))</f>
        <v>0</v>
      </c>
      <c r="J127" s="7" t="b">
        <f t="shared" ca="1" si="3"/>
        <v>0</v>
      </c>
      <c r="K127" s="10">
        <f ca="1">IF(TBL_CUOTAS[[#This Row],[CUOTA_ATRASADA]],1,0)</f>
        <v>0</v>
      </c>
      <c r="L127" s="7">
        <f ca="1">IF(TBL_CUOTAS[[#This Row],[CUOTA_ATRASADA]],TBL_CUOTAS[[#This Row],[MONTO_CUOTA]]-IF(TBL_CUOTAS[[#This Row],[MONTO_PAGADO]]="",0,TBL_CUOTAS[[#This Row],[MONTO_PAGADO]]),0)</f>
        <v>0</v>
      </c>
    </row>
    <row r="128" spans="1:12" x14ac:dyDescent="0.25">
      <c r="A128" s="6">
        <v>156</v>
      </c>
      <c r="B128" s="6">
        <v>1</v>
      </c>
      <c r="C128" s="8" t="s">
        <v>62</v>
      </c>
      <c r="D128" s="8" t="s">
        <v>126</v>
      </c>
      <c r="E128" s="4">
        <v>46023</v>
      </c>
      <c r="F128" s="7">
        <v>60000</v>
      </c>
      <c r="G128" t="s">
        <v>86</v>
      </c>
      <c r="I128" s="7">
        <f>IF(G128="Total",TBL_CUOTAS[[#This Row],[MONTO_CUOTA]],IF(G128="Parcial",IF(H128="",0,H128),0))</f>
        <v>0</v>
      </c>
      <c r="J128" s="7" t="b">
        <f t="shared" ca="1" si="3"/>
        <v>0</v>
      </c>
      <c r="K128" s="10">
        <f ca="1">IF(TBL_CUOTAS[[#This Row],[CUOTA_ATRASADA]],1,0)</f>
        <v>0</v>
      </c>
      <c r="L128" s="7">
        <f ca="1">IF(TBL_CUOTAS[[#This Row],[CUOTA_ATRASADA]],TBL_CUOTAS[[#This Row],[MONTO_CUOTA]]-IF(TBL_CUOTAS[[#This Row],[MONTO_PAGADO]]="",0,TBL_CUOTAS[[#This Row],[MONTO_PAGADO]]),0)</f>
        <v>0</v>
      </c>
    </row>
    <row r="129" spans="1:12" x14ac:dyDescent="0.25">
      <c r="A129" s="6">
        <v>157</v>
      </c>
      <c r="B129" s="6">
        <v>1</v>
      </c>
      <c r="C129" s="8" t="s">
        <v>63</v>
      </c>
      <c r="D129" s="8" t="s">
        <v>128</v>
      </c>
      <c r="E129" s="4">
        <v>46025</v>
      </c>
      <c r="F129" s="7">
        <v>120000</v>
      </c>
      <c r="G129" t="s">
        <v>86</v>
      </c>
      <c r="I129" s="7">
        <f>IF(G129="Total",TBL_CUOTAS[[#This Row],[MONTO_CUOTA]],IF(G129="Parcial",IF(H129="",0,H129),0))</f>
        <v>0</v>
      </c>
      <c r="J129" s="7" t="b">
        <f t="shared" ca="1" si="3"/>
        <v>0</v>
      </c>
      <c r="K129" s="10">
        <f ca="1">IF(TBL_CUOTAS[[#This Row],[CUOTA_ATRASADA]],1,0)</f>
        <v>0</v>
      </c>
      <c r="L129" s="7">
        <f ca="1">IF(TBL_CUOTAS[[#This Row],[CUOTA_ATRASADA]],TBL_CUOTAS[[#This Row],[MONTO_CUOTA]]-IF(TBL_CUOTAS[[#This Row],[MONTO_PAGADO]]="",0,TBL_CUOTAS[[#This Row],[MONTO_PAGADO]]),0)</f>
        <v>0</v>
      </c>
    </row>
    <row r="130" spans="1:12" x14ac:dyDescent="0.25">
      <c r="A130" s="6">
        <v>158</v>
      </c>
      <c r="B130" s="6">
        <v>1</v>
      </c>
      <c r="C130" s="8" t="s">
        <v>21</v>
      </c>
      <c r="D130" s="8" t="s">
        <v>126</v>
      </c>
      <c r="E130" s="4">
        <v>46025</v>
      </c>
      <c r="F130" s="7">
        <v>350000</v>
      </c>
      <c r="G130" t="s">
        <v>86</v>
      </c>
      <c r="I130" s="7">
        <f>IF(G130="Total",TBL_CUOTAS[[#This Row],[MONTO_CUOTA]],IF(G130="Parcial",IF(H130="",0,H130),0))</f>
        <v>0</v>
      </c>
      <c r="J130" s="7" t="b">
        <f t="shared" ref="J130:J161" ca="1" si="4">AND($G130="Impago",$E130&lt;TODAY())</f>
        <v>0</v>
      </c>
      <c r="K130" s="10">
        <f ca="1">IF(TBL_CUOTAS[[#This Row],[CUOTA_ATRASADA]],1,0)</f>
        <v>0</v>
      </c>
      <c r="L130" s="7">
        <f ca="1">IF(TBL_CUOTAS[[#This Row],[CUOTA_ATRASADA]],TBL_CUOTAS[[#This Row],[MONTO_CUOTA]]-IF(TBL_CUOTAS[[#This Row],[MONTO_PAGADO]]="",0,TBL_CUOTAS[[#This Row],[MONTO_PAGADO]]),0)</f>
        <v>0</v>
      </c>
    </row>
    <row r="131" spans="1:12" x14ac:dyDescent="0.25">
      <c r="A131" s="6">
        <v>158</v>
      </c>
      <c r="B131" s="6">
        <v>2</v>
      </c>
      <c r="C131" s="8" t="s">
        <v>21</v>
      </c>
      <c r="D131" s="8" t="s">
        <v>126</v>
      </c>
      <c r="E131" s="4">
        <v>46056</v>
      </c>
      <c r="F131" s="7">
        <v>350000</v>
      </c>
      <c r="G131" t="s">
        <v>86</v>
      </c>
      <c r="I131" s="7">
        <f>IF(G131="Total",TBL_CUOTAS[[#This Row],[MONTO_CUOTA]],IF(G131="Parcial",IF(H131="",0,H131),0))</f>
        <v>0</v>
      </c>
      <c r="J131" s="7" t="b">
        <f t="shared" ca="1" si="4"/>
        <v>0</v>
      </c>
      <c r="K131" s="10">
        <f ca="1">IF(TBL_CUOTAS[[#This Row],[CUOTA_ATRASADA]],1,0)</f>
        <v>0</v>
      </c>
      <c r="L131" s="7">
        <f ca="1">IF(TBL_CUOTAS[[#This Row],[CUOTA_ATRASADA]],TBL_CUOTAS[[#This Row],[MONTO_CUOTA]]-IF(TBL_CUOTAS[[#This Row],[MONTO_PAGADO]]="",0,TBL_CUOTAS[[#This Row],[MONTO_PAGADO]]),0)</f>
        <v>0</v>
      </c>
    </row>
    <row r="132" spans="1:12" x14ac:dyDescent="0.25">
      <c r="A132" s="6">
        <v>159</v>
      </c>
      <c r="B132" s="6">
        <v>1</v>
      </c>
      <c r="C132" s="8" t="s">
        <v>64</v>
      </c>
      <c r="D132" s="8" t="s">
        <v>126</v>
      </c>
      <c r="E132" s="4">
        <v>46001</v>
      </c>
      <c r="F132" s="7">
        <v>86250</v>
      </c>
      <c r="G132" t="s">
        <v>86</v>
      </c>
      <c r="I132" s="7">
        <f>IF(G132="Total",TBL_CUOTAS[[#This Row],[MONTO_CUOTA]],IF(G132="Parcial",IF(H132="",0,H132),0))</f>
        <v>0</v>
      </c>
      <c r="J132" s="7" t="b">
        <f t="shared" ca="1" si="4"/>
        <v>1</v>
      </c>
      <c r="K132" s="10">
        <f ca="1">IF(TBL_CUOTAS[[#This Row],[CUOTA_ATRASADA]],1,0)</f>
        <v>1</v>
      </c>
      <c r="L132" s="7">
        <f ca="1">IF(TBL_CUOTAS[[#This Row],[CUOTA_ATRASADA]],TBL_CUOTAS[[#This Row],[MONTO_CUOTA]]-IF(TBL_CUOTAS[[#This Row],[MONTO_PAGADO]]="",0,TBL_CUOTAS[[#This Row],[MONTO_PAGADO]]),0)</f>
        <v>86250</v>
      </c>
    </row>
    <row r="133" spans="1:12" x14ac:dyDescent="0.25">
      <c r="A133" s="6">
        <v>159</v>
      </c>
      <c r="B133" s="6">
        <v>2</v>
      </c>
      <c r="C133" s="8" t="s">
        <v>64</v>
      </c>
      <c r="D133" s="8" t="s">
        <v>126</v>
      </c>
      <c r="E133" s="4">
        <v>46008</v>
      </c>
      <c r="F133" s="7">
        <v>86250</v>
      </c>
      <c r="G133" t="s">
        <v>86</v>
      </c>
      <c r="I133" s="7">
        <f>IF(G133="Total",TBL_CUOTAS[[#This Row],[MONTO_CUOTA]],IF(G133="Parcial",IF(H133="",0,H133),0))</f>
        <v>0</v>
      </c>
      <c r="J133" s="7" t="b">
        <f t="shared" ca="1" si="4"/>
        <v>0</v>
      </c>
      <c r="K133" s="10">
        <f ca="1">IF(TBL_CUOTAS[[#This Row],[CUOTA_ATRASADA]],1,0)</f>
        <v>0</v>
      </c>
      <c r="L133" s="7">
        <f ca="1">IF(TBL_CUOTAS[[#This Row],[CUOTA_ATRASADA]],TBL_CUOTAS[[#This Row],[MONTO_CUOTA]]-IF(TBL_CUOTAS[[#This Row],[MONTO_PAGADO]]="",0,TBL_CUOTAS[[#This Row],[MONTO_PAGADO]]),0)</f>
        <v>0</v>
      </c>
    </row>
    <row r="134" spans="1:12" x14ac:dyDescent="0.25">
      <c r="A134" s="6">
        <v>159</v>
      </c>
      <c r="B134" s="6">
        <v>3</v>
      </c>
      <c r="C134" s="8" t="s">
        <v>64</v>
      </c>
      <c r="D134" s="8" t="s">
        <v>126</v>
      </c>
      <c r="E134" s="4">
        <v>46014</v>
      </c>
      <c r="F134" s="7">
        <v>86250</v>
      </c>
      <c r="G134" t="s">
        <v>86</v>
      </c>
      <c r="I134" s="7">
        <f>IF(G134="Total",TBL_CUOTAS[[#This Row],[MONTO_CUOTA]],IF(G134="Parcial",IF(H134="",0,H134),0))</f>
        <v>0</v>
      </c>
      <c r="J134" s="7" t="b">
        <f t="shared" ca="1" si="4"/>
        <v>0</v>
      </c>
      <c r="K134" s="10">
        <f ca="1">IF(TBL_CUOTAS[[#This Row],[CUOTA_ATRASADA]],1,0)</f>
        <v>0</v>
      </c>
      <c r="L134" s="7">
        <f ca="1">IF(TBL_CUOTAS[[#This Row],[CUOTA_ATRASADA]],TBL_CUOTAS[[#This Row],[MONTO_CUOTA]]-IF(TBL_CUOTAS[[#This Row],[MONTO_PAGADO]]="",0,TBL_CUOTAS[[#This Row],[MONTO_PAGADO]]),0)</f>
        <v>0</v>
      </c>
    </row>
    <row r="135" spans="1:12" x14ac:dyDescent="0.25">
      <c r="A135" s="6">
        <v>159</v>
      </c>
      <c r="B135" s="6">
        <v>4</v>
      </c>
      <c r="C135" s="8" t="s">
        <v>64</v>
      </c>
      <c r="D135" s="8" t="s">
        <v>126</v>
      </c>
      <c r="E135" s="4">
        <v>46021</v>
      </c>
      <c r="F135" s="7">
        <v>86250</v>
      </c>
      <c r="G135" t="s">
        <v>86</v>
      </c>
      <c r="I135" s="7">
        <f>IF(G135="Total",TBL_CUOTAS[[#This Row],[MONTO_CUOTA]],IF(G135="Parcial",IF(H135="",0,H135),0))</f>
        <v>0</v>
      </c>
      <c r="J135" s="7" t="b">
        <f t="shared" ca="1" si="4"/>
        <v>0</v>
      </c>
      <c r="K135" s="10">
        <f ca="1">IF(TBL_CUOTAS[[#This Row],[CUOTA_ATRASADA]],1,0)</f>
        <v>0</v>
      </c>
      <c r="L135" s="7">
        <f ca="1">IF(TBL_CUOTAS[[#This Row],[CUOTA_ATRASADA]],TBL_CUOTAS[[#This Row],[MONTO_CUOTA]]-IF(TBL_CUOTAS[[#This Row],[MONTO_PAGADO]]="",0,TBL_CUOTAS[[#This Row],[MONTO_PAGADO]]),0)</f>
        <v>0</v>
      </c>
    </row>
    <row r="136" spans="1:12" x14ac:dyDescent="0.25">
      <c r="A136" s="6">
        <v>160</v>
      </c>
      <c r="B136" s="6">
        <v>1</v>
      </c>
      <c r="C136" s="8" t="s">
        <v>63</v>
      </c>
      <c r="D136" s="8" t="s">
        <v>128</v>
      </c>
      <c r="E136" s="4">
        <v>46003</v>
      </c>
      <c r="F136" s="7">
        <v>52500</v>
      </c>
      <c r="G136" t="s">
        <v>86</v>
      </c>
      <c r="I136" s="7">
        <f>IF(G136="Total",TBL_CUOTAS[[#This Row],[MONTO_CUOTA]],IF(G136="Parcial",IF(H136="",0,H136),0))</f>
        <v>0</v>
      </c>
      <c r="J136" s="7" t="b">
        <f t="shared" ca="1" si="4"/>
        <v>0</v>
      </c>
      <c r="K136" s="10">
        <f ca="1">IF(TBL_CUOTAS[[#This Row],[CUOTA_ATRASADA]],1,0)</f>
        <v>0</v>
      </c>
      <c r="L136" s="7">
        <f ca="1">IF(TBL_CUOTAS[[#This Row],[CUOTA_ATRASADA]],TBL_CUOTAS[[#This Row],[MONTO_CUOTA]]-IF(TBL_CUOTAS[[#This Row],[MONTO_PAGADO]]="",0,TBL_CUOTAS[[#This Row],[MONTO_PAGADO]]),0)</f>
        <v>0</v>
      </c>
    </row>
    <row r="137" spans="1:12" x14ac:dyDescent="0.25">
      <c r="A137" s="6">
        <v>161</v>
      </c>
      <c r="B137" s="6">
        <v>1</v>
      </c>
      <c r="C137" s="8" t="s">
        <v>65</v>
      </c>
      <c r="D137" s="8" t="s">
        <v>128</v>
      </c>
      <c r="E137" s="4">
        <v>46027</v>
      </c>
      <c r="F137" s="7">
        <v>360000</v>
      </c>
      <c r="G137" t="s">
        <v>86</v>
      </c>
      <c r="I137" s="7">
        <f>IF(G137="Total",TBL_CUOTAS[[#This Row],[MONTO_CUOTA]],IF(G137="Parcial",IF(H137="",0,H137),0))</f>
        <v>0</v>
      </c>
      <c r="J137" s="7" t="b">
        <f t="shared" ca="1" si="4"/>
        <v>0</v>
      </c>
      <c r="K137" s="10">
        <f ca="1">IF(TBL_CUOTAS[[#This Row],[CUOTA_ATRASADA]],1,0)</f>
        <v>0</v>
      </c>
      <c r="L137" s="7">
        <f ca="1">IF(TBL_CUOTAS[[#This Row],[CUOTA_ATRASADA]],TBL_CUOTAS[[#This Row],[MONTO_CUOTA]]-IF(TBL_CUOTAS[[#This Row],[MONTO_PAGADO]]="",0,TBL_CUOTAS[[#This Row],[MONTO_PAGADO]]),0)</f>
        <v>0</v>
      </c>
    </row>
    <row r="138" spans="1:12" x14ac:dyDescent="0.25">
      <c r="A138" s="6">
        <v>162</v>
      </c>
      <c r="B138" s="6">
        <v>1</v>
      </c>
      <c r="C138" s="8" t="s">
        <v>66</v>
      </c>
      <c r="D138" s="8" t="s">
        <v>130</v>
      </c>
      <c r="E138" s="4">
        <v>46003</v>
      </c>
      <c r="F138" s="7">
        <v>90000</v>
      </c>
      <c r="G138" t="s">
        <v>86</v>
      </c>
      <c r="I138" s="7">
        <f>IF(G138="Total",TBL_CUOTAS[[#This Row],[MONTO_CUOTA]],IF(G138="Parcial",IF(H138="",0,H138),0))</f>
        <v>0</v>
      </c>
      <c r="J138" s="7" t="b">
        <f t="shared" ca="1" si="4"/>
        <v>0</v>
      </c>
      <c r="K138" s="10">
        <f ca="1">IF(TBL_CUOTAS[[#This Row],[CUOTA_ATRASADA]],1,0)</f>
        <v>0</v>
      </c>
      <c r="L138" s="7">
        <f ca="1">IF(TBL_CUOTAS[[#This Row],[CUOTA_ATRASADA]],TBL_CUOTAS[[#This Row],[MONTO_CUOTA]]-IF(TBL_CUOTAS[[#This Row],[MONTO_PAGADO]]="",0,TBL_CUOTAS[[#This Row],[MONTO_PAGADO]]),0)</f>
        <v>0</v>
      </c>
    </row>
    <row r="139" spans="1:12" x14ac:dyDescent="0.25">
      <c r="A139" s="6">
        <v>162</v>
      </c>
      <c r="B139" s="6">
        <v>2</v>
      </c>
      <c r="C139" s="8" t="s">
        <v>66</v>
      </c>
      <c r="D139" s="8" t="s">
        <v>130</v>
      </c>
      <c r="E139" s="4">
        <v>46010</v>
      </c>
      <c r="F139" s="7">
        <v>90000</v>
      </c>
      <c r="G139" t="s">
        <v>86</v>
      </c>
      <c r="I139" s="7">
        <f>IF(G139="Total",TBL_CUOTAS[[#This Row],[MONTO_CUOTA]],IF(G139="Parcial",IF(H139="",0,H139),0))</f>
        <v>0</v>
      </c>
      <c r="J139" s="7" t="b">
        <f t="shared" ca="1" si="4"/>
        <v>0</v>
      </c>
      <c r="K139" s="10">
        <f ca="1">IF(TBL_CUOTAS[[#This Row],[CUOTA_ATRASADA]],1,0)</f>
        <v>0</v>
      </c>
      <c r="L139" s="7">
        <f ca="1">IF(TBL_CUOTAS[[#This Row],[CUOTA_ATRASADA]],TBL_CUOTAS[[#This Row],[MONTO_CUOTA]]-IF(TBL_CUOTAS[[#This Row],[MONTO_PAGADO]]="",0,TBL_CUOTAS[[#This Row],[MONTO_PAGADO]]),0)</f>
        <v>0</v>
      </c>
    </row>
    <row r="140" spans="1:12" x14ac:dyDescent="0.25">
      <c r="A140" s="6">
        <v>162</v>
      </c>
      <c r="B140" s="6">
        <v>3</v>
      </c>
      <c r="C140" s="8" t="s">
        <v>66</v>
      </c>
      <c r="D140" s="8" t="s">
        <v>130</v>
      </c>
      <c r="E140" s="4">
        <v>46017</v>
      </c>
      <c r="F140" s="7">
        <v>90000</v>
      </c>
      <c r="G140" t="s">
        <v>86</v>
      </c>
      <c r="I140" s="7">
        <f>IF(G140="Total",TBL_CUOTAS[[#This Row],[MONTO_CUOTA]],IF(G140="Parcial",IF(H140="",0,H140),0))</f>
        <v>0</v>
      </c>
      <c r="J140" s="7" t="b">
        <f t="shared" ca="1" si="4"/>
        <v>0</v>
      </c>
      <c r="K140" s="10">
        <f ca="1">IF(TBL_CUOTAS[[#This Row],[CUOTA_ATRASADA]],1,0)</f>
        <v>0</v>
      </c>
      <c r="L140" s="7">
        <f ca="1">IF(TBL_CUOTAS[[#This Row],[CUOTA_ATRASADA]],TBL_CUOTAS[[#This Row],[MONTO_CUOTA]]-IF(TBL_CUOTAS[[#This Row],[MONTO_PAGADO]]="",0,TBL_CUOTAS[[#This Row],[MONTO_PAGADO]]),0)</f>
        <v>0</v>
      </c>
    </row>
    <row r="141" spans="1:12" x14ac:dyDescent="0.25">
      <c r="A141" s="6">
        <v>162</v>
      </c>
      <c r="B141" s="6">
        <v>4</v>
      </c>
      <c r="C141" s="8" t="s">
        <v>66</v>
      </c>
      <c r="D141" s="8" t="s">
        <v>130</v>
      </c>
      <c r="E141" s="4">
        <v>46024</v>
      </c>
      <c r="F141" s="7">
        <v>90000</v>
      </c>
      <c r="G141" t="s">
        <v>86</v>
      </c>
      <c r="I141" s="7">
        <f>IF(G141="Total",TBL_CUOTAS[[#This Row],[MONTO_CUOTA]],IF(G141="Parcial",IF(H141="",0,H141),0))</f>
        <v>0</v>
      </c>
      <c r="J141" s="7" t="b">
        <f t="shared" ca="1" si="4"/>
        <v>0</v>
      </c>
      <c r="K141" s="10">
        <f ca="1">IF(TBL_CUOTAS[[#This Row],[CUOTA_ATRASADA]],1,0)</f>
        <v>0</v>
      </c>
      <c r="L141" s="7">
        <f ca="1">IF(TBL_CUOTAS[[#This Row],[CUOTA_ATRASADA]],TBL_CUOTAS[[#This Row],[MONTO_CUOTA]]-IF(TBL_CUOTAS[[#This Row],[MONTO_PAGADO]]="",0,TBL_CUOTAS[[#This Row],[MONTO_PAGADO]]),0)</f>
        <v>0</v>
      </c>
    </row>
    <row r="142" spans="1:12" x14ac:dyDescent="0.25">
      <c r="A142" s="6">
        <v>163</v>
      </c>
      <c r="B142" s="6">
        <v>1</v>
      </c>
      <c r="C142" s="8" t="s">
        <v>67</v>
      </c>
      <c r="D142" s="8" t="s">
        <v>127</v>
      </c>
      <c r="E142" s="4">
        <v>46001</v>
      </c>
      <c r="F142" s="7">
        <v>40000</v>
      </c>
      <c r="G142" t="s">
        <v>86</v>
      </c>
      <c r="I142" s="7">
        <f>IF(G142="Total",TBL_CUOTAS[[#This Row],[MONTO_CUOTA]],IF(G142="Parcial",IF(H142="",0,H142),0))</f>
        <v>0</v>
      </c>
      <c r="J142" s="7" t="b">
        <f t="shared" ca="1" si="4"/>
        <v>1</v>
      </c>
      <c r="K142" s="10">
        <f ca="1">IF(TBL_CUOTAS[[#This Row],[CUOTA_ATRASADA]],1,0)</f>
        <v>1</v>
      </c>
      <c r="L142" s="7">
        <f ca="1">IF(TBL_CUOTAS[[#This Row],[CUOTA_ATRASADA]],TBL_CUOTAS[[#This Row],[MONTO_CUOTA]]-IF(TBL_CUOTAS[[#This Row],[MONTO_PAGADO]]="",0,TBL_CUOTAS[[#This Row],[MONTO_PAGADO]]),0)</f>
        <v>40000</v>
      </c>
    </row>
    <row r="143" spans="1:12" x14ac:dyDescent="0.25">
      <c r="A143" s="6">
        <v>164</v>
      </c>
      <c r="B143" s="6">
        <v>1</v>
      </c>
      <c r="C143" s="8" t="s">
        <v>68</v>
      </c>
      <c r="D143" s="8" t="s">
        <v>126</v>
      </c>
      <c r="E143" s="4">
        <v>46011</v>
      </c>
      <c r="F143" s="7">
        <v>70000</v>
      </c>
      <c r="G143" t="s">
        <v>86</v>
      </c>
      <c r="I143" s="7">
        <f>IF(G143="Total",TBL_CUOTAS[[#This Row],[MONTO_CUOTA]],IF(G143="Parcial",IF(H143="",0,H143),0))</f>
        <v>0</v>
      </c>
      <c r="J143" s="7" t="b">
        <f t="shared" ca="1" si="4"/>
        <v>0</v>
      </c>
      <c r="K143" s="10">
        <f ca="1">IF(TBL_CUOTAS[[#This Row],[CUOTA_ATRASADA]],1,0)</f>
        <v>0</v>
      </c>
      <c r="L143" s="7">
        <f ca="1">IF(TBL_CUOTAS[[#This Row],[CUOTA_ATRASADA]],TBL_CUOTAS[[#This Row],[MONTO_CUOTA]]-IF(TBL_CUOTAS[[#This Row],[MONTO_PAGADO]]="",0,TBL_CUOTAS[[#This Row],[MONTO_PAGADO]]),0)</f>
        <v>0</v>
      </c>
    </row>
    <row r="144" spans="1:12" x14ac:dyDescent="0.25">
      <c r="A144" s="6">
        <v>164</v>
      </c>
      <c r="B144" s="6">
        <v>2</v>
      </c>
      <c r="C144" s="8" t="s">
        <v>68</v>
      </c>
      <c r="D144" s="8" t="s">
        <v>126</v>
      </c>
      <c r="E144" s="4">
        <v>46042</v>
      </c>
      <c r="F144" s="7">
        <v>70000</v>
      </c>
      <c r="G144" t="s">
        <v>86</v>
      </c>
      <c r="I144" s="7">
        <f>IF(G144="Total",TBL_CUOTAS[[#This Row],[MONTO_CUOTA]],IF(G144="Parcial",IF(H144="",0,H144),0))</f>
        <v>0</v>
      </c>
      <c r="J144" s="7" t="b">
        <f t="shared" ca="1" si="4"/>
        <v>0</v>
      </c>
      <c r="K144" s="10">
        <f ca="1">IF(TBL_CUOTAS[[#This Row],[CUOTA_ATRASADA]],1,0)</f>
        <v>0</v>
      </c>
      <c r="L144" s="7">
        <f ca="1">IF(TBL_CUOTAS[[#This Row],[CUOTA_ATRASADA]],TBL_CUOTAS[[#This Row],[MONTO_CUOTA]]-IF(TBL_CUOTAS[[#This Row],[MONTO_PAGADO]]="",0,TBL_CUOTAS[[#This Row],[MONTO_PAGADO]]),0)</f>
        <v>0</v>
      </c>
    </row>
    <row r="145" spans="1:12" x14ac:dyDescent="0.25">
      <c r="A145" s="6">
        <v>165</v>
      </c>
      <c r="B145" s="6">
        <v>1</v>
      </c>
      <c r="C145" s="8" t="s">
        <v>69</v>
      </c>
      <c r="D145" s="8" t="s">
        <v>126</v>
      </c>
      <c r="E145" s="4">
        <v>46028</v>
      </c>
      <c r="F145" s="7">
        <v>210000</v>
      </c>
      <c r="G145" t="s">
        <v>86</v>
      </c>
      <c r="I145" s="7">
        <f>IF(G145="Total",TBL_CUOTAS[[#This Row],[MONTO_CUOTA]],IF(G145="Parcial",IF(H145="",0,H145),0))</f>
        <v>0</v>
      </c>
      <c r="J145" s="7" t="b">
        <f t="shared" ca="1" si="4"/>
        <v>0</v>
      </c>
      <c r="K145" s="10">
        <f ca="1">IF(TBL_CUOTAS[[#This Row],[CUOTA_ATRASADA]],1,0)</f>
        <v>0</v>
      </c>
      <c r="L145" s="7">
        <f ca="1">IF(TBL_CUOTAS[[#This Row],[CUOTA_ATRASADA]],TBL_CUOTAS[[#This Row],[MONTO_CUOTA]]-IF(TBL_CUOTAS[[#This Row],[MONTO_PAGADO]]="",0,TBL_CUOTAS[[#This Row],[MONTO_PAGADO]]),0)</f>
        <v>0</v>
      </c>
    </row>
    <row r="146" spans="1:12" x14ac:dyDescent="0.25">
      <c r="A146" s="6">
        <v>165</v>
      </c>
      <c r="B146" s="6">
        <v>2</v>
      </c>
      <c r="C146" s="8" t="s">
        <v>69</v>
      </c>
      <c r="D146" s="8" t="s">
        <v>126</v>
      </c>
      <c r="E146" s="4">
        <v>46059</v>
      </c>
      <c r="F146" s="7">
        <v>210000</v>
      </c>
      <c r="G146" t="s">
        <v>86</v>
      </c>
      <c r="I146" s="7">
        <f>IF(G146="Total",TBL_CUOTAS[[#This Row],[MONTO_CUOTA]],IF(G146="Parcial",IF(H146="",0,H146),0))</f>
        <v>0</v>
      </c>
      <c r="J146" s="7" t="b">
        <f t="shared" ca="1" si="4"/>
        <v>0</v>
      </c>
      <c r="K146" s="10">
        <f ca="1">IF(TBL_CUOTAS[[#This Row],[CUOTA_ATRASADA]],1,0)</f>
        <v>0</v>
      </c>
      <c r="L146" s="7">
        <f ca="1">IF(TBL_CUOTAS[[#This Row],[CUOTA_ATRASADA]],TBL_CUOTAS[[#This Row],[MONTO_CUOTA]]-IF(TBL_CUOTAS[[#This Row],[MONTO_PAGADO]]="",0,TBL_CUOTAS[[#This Row],[MONTO_PAGADO]]),0)</f>
        <v>0</v>
      </c>
    </row>
    <row r="147" spans="1:12" x14ac:dyDescent="0.25">
      <c r="A147" s="6">
        <v>166</v>
      </c>
      <c r="B147" s="6">
        <v>1</v>
      </c>
      <c r="C147" s="8" t="s">
        <v>70</v>
      </c>
      <c r="D147" s="8" t="s">
        <v>126</v>
      </c>
      <c r="E147" s="4">
        <v>46004</v>
      </c>
      <c r="F147" s="7">
        <v>57500</v>
      </c>
      <c r="G147" t="s">
        <v>86</v>
      </c>
      <c r="I147" s="7">
        <f>IF(G147="Total",TBL_CUOTAS[[#This Row],[MONTO_CUOTA]],IF(G147="Parcial",IF(H147="",0,H147),0))</f>
        <v>0</v>
      </c>
      <c r="J147" s="7" t="b">
        <f t="shared" ca="1" si="4"/>
        <v>0</v>
      </c>
      <c r="K147" s="10">
        <f ca="1">IF(TBL_CUOTAS[[#This Row],[CUOTA_ATRASADA]],1,0)</f>
        <v>0</v>
      </c>
      <c r="L147" s="7">
        <f ca="1">IF(TBL_CUOTAS[[#This Row],[CUOTA_ATRASADA]],TBL_CUOTAS[[#This Row],[MONTO_CUOTA]]-IF(TBL_CUOTAS[[#This Row],[MONTO_PAGADO]]="",0,TBL_CUOTAS[[#This Row],[MONTO_PAGADO]]),0)</f>
        <v>0</v>
      </c>
    </row>
    <row r="148" spans="1:12" x14ac:dyDescent="0.25">
      <c r="A148" s="6">
        <v>166</v>
      </c>
      <c r="B148" s="6">
        <v>2</v>
      </c>
      <c r="C148" s="8" t="s">
        <v>70</v>
      </c>
      <c r="D148" s="8" t="s">
        <v>126</v>
      </c>
      <c r="E148" s="4">
        <v>46011</v>
      </c>
      <c r="F148" s="7">
        <v>57500</v>
      </c>
      <c r="G148" t="s">
        <v>86</v>
      </c>
      <c r="I148" s="7">
        <f>IF(G148="Total",TBL_CUOTAS[[#This Row],[MONTO_CUOTA]],IF(G148="Parcial",IF(H148="",0,H148),0))</f>
        <v>0</v>
      </c>
      <c r="J148" s="7" t="b">
        <f t="shared" ca="1" si="4"/>
        <v>0</v>
      </c>
      <c r="K148" s="10">
        <f ca="1">IF(TBL_CUOTAS[[#This Row],[CUOTA_ATRASADA]],1,0)</f>
        <v>0</v>
      </c>
      <c r="L148" s="7">
        <f ca="1">IF(TBL_CUOTAS[[#This Row],[CUOTA_ATRASADA]],TBL_CUOTAS[[#This Row],[MONTO_CUOTA]]-IF(TBL_CUOTAS[[#This Row],[MONTO_PAGADO]]="",0,TBL_CUOTAS[[#This Row],[MONTO_PAGADO]]),0)</f>
        <v>0</v>
      </c>
    </row>
    <row r="149" spans="1:12" x14ac:dyDescent="0.25">
      <c r="A149" s="6">
        <v>166</v>
      </c>
      <c r="B149" s="6">
        <v>3</v>
      </c>
      <c r="C149" s="8" t="s">
        <v>70</v>
      </c>
      <c r="D149" s="8" t="s">
        <v>126</v>
      </c>
      <c r="E149" s="4">
        <v>46018</v>
      </c>
      <c r="F149" s="7">
        <v>57500</v>
      </c>
      <c r="G149" t="s">
        <v>86</v>
      </c>
      <c r="I149" s="7">
        <f>IF(G149="Total",TBL_CUOTAS[[#This Row],[MONTO_CUOTA]],IF(G149="Parcial",IF(H149="",0,H149),0))</f>
        <v>0</v>
      </c>
      <c r="J149" s="7" t="b">
        <f t="shared" ca="1" si="4"/>
        <v>0</v>
      </c>
      <c r="K149" s="10">
        <f ca="1">IF(TBL_CUOTAS[[#This Row],[CUOTA_ATRASADA]],1,0)</f>
        <v>0</v>
      </c>
      <c r="L149" s="7">
        <f ca="1">IF(TBL_CUOTAS[[#This Row],[CUOTA_ATRASADA]],TBL_CUOTAS[[#This Row],[MONTO_CUOTA]]-IF(TBL_CUOTAS[[#This Row],[MONTO_PAGADO]]="",0,TBL_CUOTAS[[#This Row],[MONTO_PAGADO]]),0)</f>
        <v>0</v>
      </c>
    </row>
    <row r="150" spans="1:12" x14ac:dyDescent="0.25">
      <c r="A150" s="6">
        <v>166</v>
      </c>
      <c r="B150" s="6">
        <v>4</v>
      </c>
      <c r="C150" s="8" t="s">
        <v>70</v>
      </c>
      <c r="D150" s="8" t="s">
        <v>126</v>
      </c>
      <c r="E150" s="4">
        <v>46025</v>
      </c>
      <c r="F150" s="7">
        <v>57500</v>
      </c>
      <c r="G150" t="s">
        <v>86</v>
      </c>
      <c r="I150" s="7">
        <f>IF(G150="Total",TBL_CUOTAS[[#This Row],[MONTO_CUOTA]],IF(G150="Parcial",IF(H150="",0,H150),0))</f>
        <v>0</v>
      </c>
      <c r="J150" s="7" t="b">
        <f t="shared" ca="1" si="4"/>
        <v>0</v>
      </c>
      <c r="K150" s="10">
        <f ca="1">IF(TBL_CUOTAS[[#This Row],[CUOTA_ATRASADA]],1,0)</f>
        <v>0</v>
      </c>
      <c r="L150" s="7">
        <f ca="1">IF(TBL_CUOTAS[[#This Row],[CUOTA_ATRASADA]],TBL_CUOTAS[[#This Row],[MONTO_CUOTA]]-IF(TBL_CUOTAS[[#This Row],[MONTO_PAGADO]]="",0,TBL_CUOTAS[[#This Row],[MONTO_PAGADO]]),0)</f>
        <v>0</v>
      </c>
    </row>
    <row r="151" spans="1:12" x14ac:dyDescent="0.25">
      <c r="A151" s="6">
        <v>167</v>
      </c>
      <c r="B151" s="6">
        <v>1</v>
      </c>
      <c r="C151" s="8" t="s">
        <v>6</v>
      </c>
      <c r="D151" s="8" t="s">
        <v>126</v>
      </c>
      <c r="E151" s="4">
        <v>46004</v>
      </c>
      <c r="F151" s="7">
        <v>28750</v>
      </c>
      <c r="G151" t="s">
        <v>86</v>
      </c>
      <c r="I151" s="7">
        <f>IF(G151="Total",TBL_CUOTAS[[#This Row],[MONTO_CUOTA]],IF(G151="Parcial",IF(H151="",0,H151),0))</f>
        <v>0</v>
      </c>
      <c r="J151" s="7" t="b">
        <f t="shared" ca="1" si="4"/>
        <v>0</v>
      </c>
      <c r="K151" s="10">
        <f ca="1">IF(TBL_CUOTAS[[#This Row],[CUOTA_ATRASADA]],1,0)</f>
        <v>0</v>
      </c>
      <c r="L151" s="7">
        <f ca="1">IF(TBL_CUOTAS[[#This Row],[CUOTA_ATRASADA]],TBL_CUOTAS[[#This Row],[MONTO_CUOTA]]-IF(TBL_CUOTAS[[#This Row],[MONTO_PAGADO]]="",0,TBL_CUOTAS[[#This Row],[MONTO_PAGADO]]),0)</f>
        <v>0</v>
      </c>
    </row>
    <row r="152" spans="1:12" x14ac:dyDescent="0.25">
      <c r="A152" s="6">
        <v>167</v>
      </c>
      <c r="B152" s="6">
        <v>2</v>
      </c>
      <c r="C152" s="8" t="s">
        <v>6</v>
      </c>
      <c r="D152" s="8" t="s">
        <v>126</v>
      </c>
      <c r="E152" s="4">
        <v>46011</v>
      </c>
      <c r="F152" s="7">
        <v>28750</v>
      </c>
      <c r="G152" t="s">
        <v>86</v>
      </c>
      <c r="I152" s="7">
        <f>IF(G152="Total",TBL_CUOTAS[[#This Row],[MONTO_CUOTA]],IF(G152="Parcial",IF(H152="",0,H152),0))</f>
        <v>0</v>
      </c>
      <c r="J152" s="7" t="b">
        <f t="shared" ca="1" si="4"/>
        <v>0</v>
      </c>
      <c r="K152" s="10">
        <f ca="1">IF(TBL_CUOTAS[[#This Row],[CUOTA_ATRASADA]],1,0)</f>
        <v>0</v>
      </c>
      <c r="L152" s="7">
        <f ca="1">IF(TBL_CUOTAS[[#This Row],[CUOTA_ATRASADA]],TBL_CUOTAS[[#This Row],[MONTO_CUOTA]]-IF(TBL_CUOTAS[[#This Row],[MONTO_PAGADO]]="",0,TBL_CUOTAS[[#This Row],[MONTO_PAGADO]]),0)</f>
        <v>0</v>
      </c>
    </row>
    <row r="153" spans="1:12" x14ac:dyDescent="0.25">
      <c r="A153" s="6">
        <v>167</v>
      </c>
      <c r="B153" s="6">
        <v>3</v>
      </c>
      <c r="C153" s="8" t="s">
        <v>6</v>
      </c>
      <c r="D153" s="8" t="s">
        <v>126</v>
      </c>
      <c r="E153" s="4">
        <v>46018</v>
      </c>
      <c r="F153" s="7">
        <v>28750</v>
      </c>
      <c r="G153" t="s">
        <v>86</v>
      </c>
      <c r="I153" s="7">
        <f>IF(G153="Total",TBL_CUOTAS[[#This Row],[MONTO_CUOTA]],IF(G153="Parcial",IF(H153="",0,H153),0))</f>
        <v>0</v>
      </c>
      <c r="J153" s="7" t="b">
        <f t="shared" ca="1" si="4"/>
        <v>0</v>
      </c>
      <c r="K153" s="10">
        <f ca="1">IF(TBL_CUOTAS[[#This Row],[CUOTA_ATRASADA]],1,0)</f>
        <v>0</v>
      </c>
      <c r="L153" s="7">
        <f ca="1">IF(TBL_CUOTAS[[#This Row],[CUOTA_ATRASADA]],TBL_CUOTAS[[#This Row],[MONTO_CUOTA]]-IF(TBL_CUOTAS[[#This Row],[MONTO_PAGADO]]="",0,TBL_CUOTAS[[#This Row],[MONTO_PAGADO]]),0)</f>
        <v>0</v>
      </c>
    </row>
    <row r="154" spans="1:12" x14ac:dyDescent="0.25">
      <c r="A154" s="6">
        <v>167</v>
      </c>
      <c r="B154" s="6">
        <v>4</v>
      </c>
      <c r="C154" s="8" t="s">
        <v>6</v>
      </c>
      <c r="D154" s="8" t="s">
        <v>126</v>
      </c>
      <c r="E154" s="4">
        <v>46025</v>
      </c>
      <c r="F154" s="7">
        <v>28750</v>
      </c>
      <c r="G154" t="s">
        <v>86</v>
      </c>
      <c r="I154" s="7">
        <f>IF(G154="Total",TBL_CUOTAS[[#This Row],[MONTO_CUOTA]],IF(G154="Parcial",IF(H154="",0,H154),0))</f>
        <v>0</v>
      </c>
      <c r="J154" s="7" t="b">
        <f t="shared" ca="1" si="4"/>
        <v>0</v>
      </c>
      <c r="K154" s="10">
        <f ca="1">IF(TBL_CUOTAS[[#This Row],[CUOTA_ATRASADA]],1,0)</f>
        <v>0</v>
      </c>
      <c r="L154" s="7">
        <f ca="1">IF(TBL_CUOTAS[[#This Row],[CUOTA_ATRASADA]],TBL_CUOTAS[[#This Row],[MONTO_CUOTA]]-IF(TBL_CUOTAS[[#This Row],[MONTO_PAGADO]]="",0,TBL_CUOTAS[[#This Row],[MONTO_PAGADO]]),0)</f>
        <v>0</v>
      </c>
    </row>
    <row r="155" spans="1:12" x14ac:dyDescent="0.25">
      <c r="A155" s="6">
        <v>168</v>
      </c>
      <c r="B155" s="6">
        <v>1</v>
      </c>
      <c r="C155" s="8" t="s">
        <v>71</v>
      </c>
      <c r="D155" s="8" t="s">
        <v>126</v>
      </c>
      <c r="E155" s="4">
        <v>46004</v>
      </c>
      <c r="F155" s="7">
        <v>28750</v>
      </c>
      <c r="G155" t="s">
        <v>86</v>
      </c>
      <c r="I155" s="7">
        <f>IF(G155="Total",TBL_CUOTAS[[#This Row],[MONTO_CUOTA]],IF(G155="Parcial",IF(H155="",0,H155),0))</f>
        <v>0</v>
      </c>
      <c r="J155" s="7" t="b">
        <f t="shared" ca="1" si="4"/>
        <v>0</v>
      </c>
      <c r="K155" s="10">
        <f ca="1">IF(TBL_CUOTAS[[#This Row],[CUOTA_ATRASADA]],1,0)</f>
        <v>0</v>
      </c>
      <c r="L155" s="7">
        <f ca="1">IF(TBL_CUOTAS[[#This Row],[CUOTA_ATRASADA]],TBL_CUOTAS[[#This Row],[MONTO_CUOTA]]-IF(TBL_CUOTAS[[#This Row],[MONTO_PAGADO]]="",0,TBL_CUOTAS[[#This Row],[MONTO_PAGADO]]),0)</f>
        <v>0</v>
      </c>
    </row>
    <row r="156" spans="1:12" x14ac:dyDescent="0.25">
      <c r="A156" s="6">
        <v>168</v>
      </c>
      <c r="B156" s="6">
        <v>2</v>
      </c>
      <c r="C156" s="8" t="s">
        <v>71</v>
      </c>
      <c r="D156" s="8" t="s">
        <v>126</v>
      </c>
      <c r="E156" s="4">
        <v>46011</v>
      </c>
      <c r="F156" s="7">
        <v>28750</v>
      </c>
      <c r="G156" t="s">
        <v>86</v>
      </c>
      <c r="I156" s="7">
        <f>IF(G156="Total",TBL_CUOTAS[[#This Row],[MONTO_CUOTA]],IF(G156="Parcial",IF(H156="",0,H156),0))</f>
        <v>0</v>
      </c>
      <c r="J156" s="7" t="b">
        <f t="shared" ca="1" si="4"/>
        <v>0</v>
      </c>
      <c r="K156" s="10">
        <f ca="1">IF(TBL_CUOTAS[[#This Row],[CUOTA_ATRASADA]],1,0)</f>
        <v>0</v>
      </c>
      <c r="L156" s="7">
        <f ca="1">IF(TBL_CUOTAS[[#This Row],[CUOTA_ATRASADA]],TBL_CUOTAS[[#This Row],[MONTO_CUOTA]]-IF(TBL_CUOTAS[[#This Row],[MONTO_PAGADO]]="",0,TBL_CUOTAS[[#This Row],[MONTO_PAGADO]]),0)</f>
        <v>0</v>
      </c>
    </row>
    <row r="157" spans="1:12" x14ac:dyDescent="0.25">
      <c r="A157" s="6">
        <v>168</v>
      </c>
      <c r="B157" s="6">
        <v>3</v>
      </c>
      <c r="C157" s="8" t="s">
        <v>71</v>
      </c>
      <c r="D157" s="8" t="s">
        <v>126</v>
      </c>
      <c r="E157" s="4">
        <v>46018</v>
      </c>
      <c r="F157" s="7">
        <v>28750</v>
      </c>
      <c r="G157" t="s">
        <v>86</v>
      </c>
      <c r="I157" s="7">
        <f>IF(G157="Total",TBL_CUOTAS[[#This Row],[MONTO_CUOTA]],IF(G157="Parcial",IF(H157="",0,H157),0))</f>
        <v>0</v>
      </c>
      <c r="J157" s="7" t="b">
        <f t="shared" ca="1" si="4"/>
        <v>0</v>
      </c>
      <c r="K157" s="10">
        <f ca="1">IF(TBL_CUOTAS[[#This Row],[CUOTA_ATRASADA]],1,0)</f>
        <v>0</v>
      </c>
      <c r="L157" s="7">
        <f ca="1">IF(TBL_CUOTAS[[#This Row],[CUOTA_ATRASADA]],TBL_CUOTAS[[#This Row],[MONTO_CUOTA]]-IF(TBL_CUOTAS[[#This Row],[MONTO_PAGADO]]="",0,TBL_CUOTAS[[#This Row],[MONTO_PAGADO]]),0)</f>
        <v>0</v>
      </c>
    </row>
    <row r="158" spans="1:12" x14ac:dyDescent="0.25">
      <c r="A158" s="6">
        <v>168</v>
      </c>
      <c r="B158" s="6">
        <v>4</v>
      </c>
      <c r="C158" s="8" t="s">
        <v>71</v>
      </c>
      <c r="D158" s="8" t="s">
        <v>126</v>
      </c>
      <c r="E158" s="4">
        <v>46025</v>
      </c>
      <c r="F158" s="7">
        <v>28750</v>
      </c>
      <c r="G158" t="s">
        <v>86</v>
      </c>
      <c r="I158" s="7">
        <f>IF(G158="Total",TBL_CUOTAS[[#This Row],[MONTO_CUOTA]],IF(G158="Parcial",IF(H158="",0,H158),0))</f>
        <v>0</v>
      </c>
      <c r="J158" s="7" t="b">
        <f t="shared" ca="1" si="4"/>
        <v>0</v>
      </c>
      <c r="K158" s="10">
        <f ca="1">IF(TBL_CUOTAS[[#This Row],[CUOTA_ATRASADA]],1,0)</f>
        <v>0</v>
      </c>
      <c r="L158" s="7">
        <f ca="1">IF(TBL_CUOTAS[[#This Row],[CUOTA_ATRASADA]],TBL_CUOTAS[[#This Row],[MONTO_CUOTA]]-IF(TBL_CUOTAS[[#This Row],[MONTO_PAGADO]]="",0,TBL_CUOTAS[[#This Row],[MONTO_PAGADO]]),0)</f>
        <v>0</v>
      </c>
    </row>
    <row r="159" spans="1:12" x14ac:dyDescent="0.25">
      <c r="A159" s="6">
        <v>169</v>
      </c>
      <c r="B159" s="6">
        <v>1</v>
      </c>
      <c r="C159" s="8" t="s">
        <v>72</v>
      </c>
      <c r="D159" s="8" t="s">
        <v>126</v>
      </c>
      <c r="E159" s="4">
        <v>46003</v>
      </c>
      <c r="F159" s="7">
        <v>57500</v>
      </c>
      <c r="G159" t="s">
        <v>86</v>
      </c>
      <c r="I159" s="7">
        <f>IF(G159="Total",TBL_CUOTAS[[#This Row],[MONTO_CUOTA]],IF(G159="Parcial",IF(H159="",0,H159),0))</f>
        <v>0</v>
      </c>
      <c r="J159" s="7" t="b">
        <f t="shared" ca="1" si="4"/>
        <v>0</v>
      </c>
      <c r="K159" s="10">
        <f ca="1">IF(TBL_CUOTAS[[#This Row],[CUOTA_ATRASADA]],1,0)</f>
        <v>0</v>
      </c>
      <c r="L159" s="7">
        <f ca="1">IF(TBL_CUOTAS[[#This Row],[CUOTA_ATRASADA]],TBL_CUOTAS[[#This Row],[MONTO_CUOTA]]-IF(TBL_CUOTAS[[#This Row],[MONTO_PAGADO]]="",0,TBL_CUOTAS[[#This Row],[MONTO_PAGADO]]),0)</f>
        <v>0</v>
      </c>
    </row>
    <row r="160" spans="1:12" x14ac:dyDescent="0.25">
      <c r="A160" s="6">
        <v>169</v>
      </c>
      <c r="B160" s="6">
        <v>2</v>
      </c>
      <c r="C160" s="8" t="s">
        <v>72</v>
      </c>
      <c r="D160" s="8" t="s">
        <v>126</v>
      </c>
      <c r="E160" s="4">
        <v>46010</v>
      </c>
      <c r="F160" s="7">
        <v>57500</v>
      </c>
      <c r="G160" t="s">
        <v>86</v>
      </c>
      <c r="I160" s="7">
        <f>IF(G160="Total",TBL_CUOTAS[[#This Row],[MONTO_CUOTA]],IF(G160="Parcial",IF(H160="",0,H160),0))</f>
        <v>0</v>
      </c>
      <c r="J160" s="7" t="b">
        <f t="shared" ca="1" si="4"/>
        <v>0</v>
      </c>
      <c r="K160" s="10">
        <f ca="1">IF(TBL_CUOTAS[[#This Row],[CUOTA_ATRASADA]],1,0)</f>
        <v>0</v>
      </c>
      <c r="L160" s="7">
        <f ca="1">IF(TBL_CUOTAS[[#This Row],[CUOTA_ATRASADA]],TBL_CUOTAS[[#This Row],[MONTO_CUOTA]]-IF(TBL_CUOTAS[[#This Row],[MONTO_PAGADO]]="",0,TBL_CUOTAS[[#This Row],[MONTO_PAGADO]]),0)</f>
        <v>0</v>
      </c>
    </row>
    <row r="161" spans="1:12" x14ac:dyDescent="0.25">
      <c r="A161" s="6">
        <v>169</v>
      </c>
      <c r="B161" s="6">
        <v>3</v>
      </c>
      <c r="C161" s="8" t="s">
        <v>72</v>
      </c>
      <c r="D161" s="8" t="s">
        <v>126</v>
      </c>
      <c r="E161" s="4">
        <v>46017</v>
      </c>
      <c r="F161" s="7">
        <v>57500</v>
      </c>
      <c r="G161" t="s">
        <v>86</v>
      </c>
      <c r="I161" s="7">
        <f>IF(G161="Total",TBL_CUOTAS[[#This Row],[MONTO_CUOTA]],IF(G161="Parcial",IF(H161="",0,H161),0))</f>
        <v>0</v>
      </c>
      <c r="J161" s="7" t="b">
        <f t="shared" ca="1" si="4"/>
        <v>0</v>
      </c>
      <c r="K161" s="10">
        <f ca="1">IF(TBL_CUOTAS[[#This Row],[CUOTA_ATRASADA]],1,0)</f>
        <v>0</v>
      </c>
      <c r="L161" s="7">
        <f ca="1">IF(TBL_CUOTAS[[#This Row],[CUOTA_ATRASADA]],TBL_CUOTAS[[#This Row],[MONTO_CUOTA]]-IF(TBL_CUOTAS[[#This Row],[MONTO_PAGADO]]="",0,TBL_CUOTAS[[#This Row],[MONTO_PAGADO]]),0)</f>
        <v>0</v>
      </c>
    </row>
    <row r="162" spans="1:12" x14ac:dyDescent="0.25">
      <c r="A162" s="6">
        <v>169</v>
      </c>
      <c r="B162" s="6">
        <v>4</v>
      </c>
      <c r="C162" s="8" t="s">
        <v>72</v>
      </c>
      <c r="D162" s="8" t="s">
        <v>126</v>
      </c>
      <c r="E162" s="4">
        <v>46024</v>
      </c>
      <c r="F162" s="7">
        <v>57500</v>
      </c>
      <c r="G162" t="s">
        <v>86</v>
      </c>
      <c r="I162" s="7">
        <f>IF(G162="Total",TBL_CUOTAS[[#This Row],[MONTO_CUOTA]],IF(G162="Parcial",IF(H162="",0,H162),0))</f>
        <v>0</v>
      </c>
      <c r="J162" s="7" t="b">
        <f t="shared" ref="J162:J175" ca="1" si="5">AND($G162="Impago",$E162&lt;TODAY())</f>
        <v>0</v>
      </c>
      <c r="K162" s="10">
        <f ca="1">IF(TBL_CUOTAS[[#This Row],[CUOTA_ATRASADA]],1,0)</f>
        <v>0</v>
      </c>
      <c r="L162" s="7">
        <f ca="1">IF(TBL_CUOTAS[[#This Row],[CUOTA_ATRASADA]],TBL_CUOTAS[[#This Row],[MONTO_CUOTA]]-IF(TBL_CUOTAS[[#This Row],[MONTO_PAGADO]]="",0,TBL_CUOTAS[[#This Row],[MONTO_PAGADO]]),0)</f>
        <v>0</v>
      </c>
    </row>
    <row r="163" spans="1:12" x14ac:dyDescent="0.25">
      <c r="A163" s="6">
        <v>170</v>
      </c>
      <c r="B163" s="6">
        <v>1</v>
      </c>
      <c r="C163" s="8" t="s">
        <v>73</v>
      </c>
      <c r="D163" s="8" t="s">
        <v>126</v>
      </c>
      <c r="E163" s="4">
        <v>46003</v>
      </c>
      <c r="F163" s="7">
        <v>28750</v>
      </c>
      <c r="G163" t="s">
        <v>86</v>
      </c>
      <c r="I163" s="7">
        <f>IF(G163="Total",TBL_CUOTAS[[#This Row],[MONTO_CUOTA]],IF(G163="Parcial",IF(H163="",0,H163),0))</f>
        <v>0</v>
      </c>
      <c r="J163" s="7" t="b">
        <f t="shared" ca="1" si="5"/>
        <v>0</v>
      </c>
      <c r="K163" s="10">
        <f ca="1">IF(TBL_CUOTAS[[#This Row],[CUOTA_ATRASADA]],1,0)</f>
        <v>0</v>
      </c>
      <c r="L163" s="7">
        <f ca="1">IF(TBL_CUOTAS[[#This Row],[CUOTA_ATRASADA]],TBL_CUOTAS[[#This Row],[MONTO_CUOTA]]-IF(TBL_CUOTAS[[#This Row],[MONTO_PAGADO]]="",0,TBL_CUOTAS[[#This Row],[MONTO_PAGADO]]),0)</f>
        <v>0</v>
      </c>
    </row>
    <row r="164" spans="1:12" x14ac:dyDescent="0.25">
      <c r="A164" s="6">
        <v>170</v>
      </c>
      <c r="B164" s="6">
        <v>2</v>
      </c>
      <c r="C164" s="8" t="s">
        <v>73</v>
      </c>
      <c r="D164" s="8" t="s">
        <v>126</v>
      </c>
      <c r="E164" s="4">
        <v>46010</v>
      </c>
      <c r="F164" s="7">
        <v>28750</v>
      </c>
      <c r="G164" t="s">
        <v>86</v>
      </c>
      <c r="I164" s="7">
        <f>IF(G164="Total",TBL_CUOTAS[[#This Row],[MONTO_CUOTA]],IF(G164="Parcial",IF(H164="",0,H164),0))</f>
        <v>0</v>
      </c>
      <c r="J164" s="7" t="b">
        <f t="shared" ca="1" si="5"/>
        <v>0</v>
      </c>
      <c r="K164" s="10">
        <f ca="1">IF(TBL_CUOTAS[[#This Row],[CUOTA_ATRASADA]],1,0)</f>
        <v>0</v>
      </c>
      <c r="L164" s="7">
        <f ca="1">IF(TBL_CUOTAS[[#This Row],[CUOTA_ATRASADA]],TBL_CUOTAS[[#This Row],[MONTO_CUOTA]]-IF(TBL_CUOTAS[[#This Row],[MONTO_PAGADO]]="",0,TBL_CUOTAS[[#This Row],[MONTO_PAGADO]]),0)</f>
        <v>0</v>
      </c>
    </row>
    <row r="165" spans="1:12" x14ac:dyDescent="0.25">
      <c r="A165" s="6">
        <v>170</v>
      </c>
      <c r="B165" s="6">
        <v>3</v>
      </c>
      <c r="C165" s="8" t="s">
        <v>73</v>
      </c>
      <c r="D165" s="8" t="s">
        <v>126</v>
      </c>
      <c r="E165" s="4">
        <v>46017</v>
      </c>
      <c r="F165" s="7">
        <v>28750</v>
      </c>
      <c r="G165" t="s">
        <v>86</v>
      </c>
      <c r="I165" s="7">
        <f>IF(G165="Total",TBL_CUOTAS[[#This Row],[MONTO_CUOTA]],IF(G165="Parcial",IF(H165="",0,H165),0))</f>
        <v>0</v>
      </c>
      <c r="J165" s="7" t="b">
        <f t="shared" ca="1" si="5"/>
        <v>0</v>
      </c>
      <c r="K165" s="10">
        <f ca="1">IF(TBL_CUOTAS[[#This Row],[CUOTA_ATRASADA]],1,0)</f>
        <v>0</v>
      </c>
      <c r="L165" s="7">
        <f ca="1">IF(TBL_CUOTAS[[#This Row],[CUOTA_ATRASADA]],TBL_CUOTAS[[#This Row],[MONTO_CUOTA]]-IF(TBL_CUOTAS[[#This Row],[MONTO_PAGADO]]="",0,TBL_CUOTAS[[#This Row],[MONTO_PAGADO]]),0)</f>
        <v>0</v>
      </c>
    </row>
    <row r="166" spans="1:12" x14ac:dyDescent="0.25">
      <c r="A166" s="6">
        <v>170</v>
      </c>
      <c r="B166" s="6">
        <v>4</v>
      </c>
      <c r="C166" s="8" t="s">
        <v>73</v>
      </c>
      <c r="D166" s="8" t="s">
        <v>126</v>
      </c>
      <c r="E166" s="4">
        <v>46024</v>
      </c>
      <c r="F166" s="7">
        <v>28750</v>
      </c>
      <c r="G166" t="s">
        <v>86</v>
      </c>
      <c r="I166" s="7">
        <f>IF(G166="Total",TBL_CUOTAS[[#This Row],[MONTO_CUOTA]],IF(G166="Parcial",IF(H166="",0,H166),0))</f>
        <v>0</v>
      </c>
      <c r="J166" s="7" t="b">
        <f t="shared" ca="1" si="5"/>
        <v>0</v>
      </c>
      <c r="K166" s="10">
        <f ca="1">IF(TBL_CUOTAS[[#This Row],[CUOTA_ATRASADA]],1,0)</f>
        <v>0</v>
      </c>
      <c r="L166" s="7">
        <f ca="1">IF(TBL_CUOTAS[[#This Row],[CUOTA_ATRASADA]],TBL_CUOTAS[[#This Row],[MONTO_CUOTA]]-IF(TBL_CUOTAS[[#This Row],[MONTO_PAGADO]]="",0,TBL_CUOTAS[[#This Row],[MONTO_PAGADO]]),0)</f>
        <v>0</v>
      </c>
    </row>
    <row r="167" spans="1:12" x14ac:dyDescent="0.25">
      <c r="A167" s="6">
        <v>171</v>
      </c>
      <c r="B167" s="6">
        <v>1</v>
      </c>
      <c r="C167" s="8" t="s">
        <v>74</v>
      </c>
      <c r="D167" s="8" t="s">
        <v>126</v>
      </c>
      <c r="E167" s="4">
        <v>46003</v>
      </c>
      <c r="F167" s="7">
        <v>28500</v>
      </c>
      <c r="G167" t="s">
        <v>86</v>
      </c>
      <c r="I167" s="7">
        <f>IF(G167="Total",TBL_CUOTAS[[#This Row],[MONTO_CUOTA]],IF(G167="Parcial",IF(H167="",0,H167),0))</f>
        <v>0</v>
      </c>
      <c r="J167" s="7" t="b">
        <f t="shared" ca="1" si="5"/>
        <v>0</v>
      </c>
      <c r="K167" s="10">
        <f ca="1">IF(TBL_CUOTAS[[#This Row],[CUOTA_ATRASADA]],1,0)</f>
        <v>0</v>
      </c>
      <c r="L167" s="7">
        <f ca="1">IF(TBL_CUOTAS[[#This Row],[CUOTA_ATRASADA]],TBL_CUOTAS[[#This Row],[MONTO_CUOTA]]-IF(TBL_CUOTAS[[#This Row],[MONTO_PAGADO]]="",0,TBL_CUOTAS[[#This Row],[MONTO_PAGADO]]),0)</f>
        <v>0</v>
      </c>
    </row>
    <row r="168" spans="1:12" x14ac:dyDescent="0.25">
      <c r="A168" s="6">
        <v>171</v>
      </c>
      <c r="B168" s="6">
        <v>2</v>
      </c>
      <c r="C168" s="8" t="s">
        <v>74</v>
      </c>
      <c r="D168" s="8" t="s">
        <v>126</v>
      </c>
      <c r="E168" s="4">
        <v>46010</v>
      </c>
      <c r="F168" s="7">
        <v>28500</v>
      </c>
      <c r="G168" t="s">
        <v>86</v>
      </c>
      <c r="I168" s="7">
        <f>IF(G168="Total",TBL_CUOTAS[[#This Row],[MONTO_CUOTA]],IF(G168="Parcial",IF(H168="",0,H168),0))</f>
        <v>0</v>
      </c>
      <c r="J168" s="7" t="b">
        <f t="shared" ca="1" si="5"/>
        <v>0</v>
      </c>
      <c r="K168" s="10">
        <f ca="1">IF(TBL_CUOTAS[[#This Row],[CUOTA_ATRASADA]],1,0)</f>
        <v>0</v>
      </c>
      <c r="L168" s="7">
        <f ca="1">IF(TBL_CUOTAS[[#This Row],[CUOTA_ATRASADA]],TBL_CUOTAS[[#This Row],[MONTO_CUOTA]]-IF(TBL_CUOTAS[[#This Row],[MONTO_PAGADO]]="",0,TBL_CUOTAS[[#This Row],[MONTO_PAGADO]]),0)</f>
        <v>0</v>
      </c>
    </row>
    <row r="169" spans="1:12" x14ac:dyDescent="0.25">
      <c r="A169" s="6">
        <v>171</v>
      </c>
      <c r="B169" s="6">
        <v>3</v>
      </c>
      <c r="C169" s="8" t="s">
        <v>74</v>
      </c>
      <c r="D169" s="8" t="s">
        <v>126</v>
      </c>
      <c r="E169" s="4">
        <v>46017</v>
      </c>
      <c r="F169" s="7">
        <v>28500</v>
      </c>
      <c r="G169" t="s">
        <v>86</v>
      </c>
      <c r="I169" s="7">
        <f>IF(G169="Total",TBL_CUOTAS[[#This Row],[MONTO_CUOTA]],IF(G169="Parcial",IF(H169="",0,H169),0))</f>
        <v>0</v>
      </c>
      <c r="J169" s="7" t="b">
        <f t="shared" ca="1" si="5"/>
        <v>0</v>
      </c>
      <c r="K169" s="10">
        <f ca="1">IF(TBL_CUOTAS[[#This Row],[CUOTA_ATRASADA]],1,0)</f>
        <v>0</v>
      </c>
      <c r="L169" s="7">
        <f ca="1">IF(TBL_CUOTAS[[#This Row],[CUOTA_ATRASADA]],TBL_CUOTAS[[#This Row],[MONTO_CUOTA]]-IF(TBL_CUOTAS[[#This Row],[MONTO_PAGADO]]="",0,TBL_CUOTAS[[#This Row],[MONTO_PAGADO]]),0)</f>
        <v>0</v>
      </c>
    </row>
    <row r="170" spans="1:12" x14ac:dyDescent="0.25">
      <c r="A170" s="6">
        <v>171</v>
      </c>
      <c r="B170" s="6">
        <v>4</v>
      </c>
      <c r="C170" s="8" t="s">
        <v>74</v>
      </c>
      <c r="D170" s="8" t="s">
        <v>126</v>
      </c>
      <c r="E170" s="4">
        <v>46024</v>
      </c>
      <c r="F170" s="7">
        <v>28500</v>
      </c>
      <c r="G170" t="s">
        <v>86</v>
      </c>
      <c r="I170" s="7">
        <f>IF(G170="Total",TBL_CUOTAS[[#This Row],[MONTO_CUOTA]],IF(G170="Parcial",IF(H170="",0,H170),0))</f>
        <v>0</v>
      </c>
      <c r="J170" s="7" t="b">
        <f t="shared" ca="1" si="5"/>
        <v>0</v>
      </c>
      <c r="K170" s="10">
        <f ca="1">IF(TBL_CUOTAS[[#This Row],[CUOTA_ATRASADA]],1,0)</f>
        <v>0</v>
      </c>
      <c r="L170" s="7">
        <f ca="1">IF(TBL_CUOTAS[[#This Row],[CUOTA_ATRASADA]],TBL_CUOTAS[[#This Row],[MONTO_CUOTA]]-IF(TBL_CUOTAS[[#This Row],[MONTO_PAGADO]]="",0,TBL_CUOTAS[[#This Row],[MONTO_PAGADO]]),0)</f>
        <v>0</v>
      </c>
    </row>
    <row r="171" spans="1:12" x14ac:dyDescent="0.25">
      <c r="A171" s="6">
        <v>172</v>
      </c>
      <c r="B171" s="6">
        <v>1</v>
      </c>
      <c r="C171" s="8" t="s">
        <v>28</v>
      </c>
      <c r="D171" s="8" t="s">
        <v>126</v>
      </c>
      <c r="E171" s="4">
        <v>46007</v>
      </c>
      <c r="F171" s="7">
        <v>57500</v>
      </c>
      <c r="G171" t="s">
        <v>86</v>
      </c>
      <c r="I171" s="7">
        <f>IF(G171="Total",TBL_CUOTAS[[#This Row],[MONTO_CUOTA]],IF(G171="Parcial",IF(H171="",0,H171),0))</f>
        <v>0</v>
      </c>
      <c r="J171" s="7" t="b">
        <f t="shared" ca="1" si="5"/>
        <v>0</v>
      </c>
      <c r="K171" s="10">
        <f ca="1">IF(TBL_CUOTAS[[#This Row],[CUOTA_ATRASADA]],1,0)</f>
        <v>0</v>
      </c>
      <c r="L171" s="7">
        <f ca="1">IF(TBL_CUOTAS[[#This Row],[CUOTA_ATRASADA]],TBL_CUOTAS[[#This Row],[MONTO_CUOTA]]-IF(TBL_CUOTAS[[#This Row],[MONTO_PAGADO]]="",0,TBL_CUOTAS[[#This Row],[MONTO_PAGADO]]),0)</f>
        <v>0</v>
      </c>
    </row>
    <row r="172" spans="1:12" x14ac:dyDescent="0.25">
      <c r="A172" s="6">
        <v>172</v>
      </c>
      <c r="B172" s="6">
        <v>2</v>
      </c>
      <c r="C172" s="8" t="s">
        <v>28</v>
      </c>
      <c r="D172" s="8" t="s">
        <v>126</v>
      </c>
      <c r="E172" s="4">
        <v>46014</v>
      </c>
      <c r="F172" s="7">
        <v>57500</v>
      </c>
      <c r="G172" t="s">
        <v>86</v>
      </c>
      <c r="I172" s="7">
        <f>IF(G172="Total",TBL_CUOTAS[[#This Row],[MONTO_CUOTA]],IF(G172="Parcial",IF(H172="",0,H172),0))</f>
        <v>0</v>
      </c>
      <c r="J172" s="7" t="b">
        <f t="shared" ca="1" si="5"/>
        <v>0</v>
      </c>
      <c r="K172" s="10">
        <f ca="1">IF(TBL_CUOTAS[[#This Row],[CUOTA_ATRASADA]],1,0)</f>
        <v>0</v>
      </c>
      <c r="L172" s="7">
        <f ca="1">IF(TBL_CUOTAS[[#This Row],[CUOTA_ATRASADA]],TBL_CUOTAS[[#This Row],[MONTO_CUOTA]]-IF(TBL_CUOTAS[[#This Row],[MONTO_PAGADO]]="",0,TBL_CUOTAS[[#This Row],[MONTO_PAGADO]]),0)</f>
        <v>0</v>
      </c>
    </row>
    <row r="173" spans="1:12" x14ac:dyDescent="0.25">
      <c r="A173" s="6">
        <v>172</v>
      </c>
      <c r="B173" s="6">
        <v>3</v>
      </c>
      <c r="C173" s="8" t="s">
        <v>28</v>
      </c>
      <c r="D173" s="8" t="s">
        <v>126</v>
      </c>
      <c r="E173" s="4">
        <v>46021</v>
      </c>
      <c r="F173" s="7">
        <v>57500</v>
      </c>
      <c r="G173" t="s">
        <v>86</v>
      </c>
      <c r="I173" s="7">
        <f>IF(G173="Total",TBL_CUOTAS[[#This Row],[MONTO_CUOTA]],IF(G173="Parcial",IF(H173="",0,H173),0))</f>
        <v>0</v>
      </c>
      <c r="J173" s="7" t="b">
        <f t="shared" ca="1" si="5"/>
        <v>0</v>
      </c>
      <c r="K173" s="10">
        <f ca="1">IF(TBL_CUOTAS[[#This Row],[CUOTA_ATRASADA]],1,0)</f>
        <v>0</v>
      </c>
      <c r="L173" s="7">
        <f ca="1">IF(TBL_CUOTAS[[#This Row],[CUOTA_ATRASADA]],TBL_CUOTAS[[#This Row],[MONTO_CUOTA]]-IF(TBL_CUOTAS[[#This Row],[MONTO_PAGADO]]="",0,TBL_CUOTAS[[#This Row],[MONTO_PAGADO]]),0)</f>
        <v>0</v>
      </c>
    </row>
    <row r="174" spans="1:12" x14ac:dyDescent="0.25">
      <c r="A174" s="6">
        <v>172</v>
      </c>
      <c r="B174" s="6">
        <v>4</v>
      </c>
      <c r="C174" s="8" t="s">
        <v>28</v>
      </c>
      <c r="D174" s="8" t="s">
        <v>126</v>
      </c>
      <c r="E174" s="4">
        <v>46028</v>
      </c>
      <c r="F174" s="7">
        <v>57500</v>
      </c>
      <c r="G174" t="s">
        <v>86</v>
      </c>
      <c r="I174" s="7">
        <f>IF(G174="Total",TBL_CUOTAS[[#This Row],[MONTO_CUOTA]],IF(G174="Parcial",IF(H174="",0,H174),0))</f>
        <v>0</v>
      </c>
      <c r="J174" s="7" t="b">
        <f t="shared" ca="1" si="5"/>
        <v>0</v>
      </c>
      <c r="K174" s="10">
        <f ca="1">IF(TBL_CUOTAS[[#This Row],[CUOTA_ATRASADA]],1,0)</f>
        <v>0</v>
      </c>
      <c r="L174" s="7">
        <f ca="1">IF(TBL_CUOTAS[[#This Row],[CUOTA_ATRASADA]],TBL_CUOTAS[[#This Row],[MONTO_CUOTA]]-IF(TBL_CUOTAS[[#This Row],[MONTO_PAGADO]]="",0,TBL_CUOTAS[[#This Row],[MONTO_PAGADO]]),0)</f>
        <v>0</v>
      </c>
    </row>
    <row r="175" spans="1:12" x14ac:dyDescent="0.25">
      <c r="A175" s="6">
        <v>173</v>
      </c>
      <c r="B175" s="6">
        <v>1</v>
      </c>
      <c r="C175" s="8" t="s">
        <v>75</v>
      </c>
      <c r="D175" s="8" t="s">
        <v>126</v>
      </c>
      <c r="E175" s="4">
        <v>46030</v>
      </c>
      <c r="F175" s="7">
        <v>360000</v>
      </c>
      <c r="G175" t="s">
        <v>86</v>
      </c>
      <c r="I175" s="7">
        <f>IF(G175="Total",TBL_CUOTAS[[#This Row],[MONTO_CUOTA]],IF(G175="Parcial",IF(H175="",0,H175),0))</f>
        <v>0</v>
      </c>
      <c r="J175" s="7" t="b">
        <f t="shared" ca="1" si="5"/>
        <v>0</v>
      </c>
      <c r="K175" s="10">
        <f ca="1">IF(TBL_CUOTAS[[#This Row],[CUOTA_ATRASADA]],1,0)</f>
        <v>0</v>
      </c>
      <c r="L175" s="7">
        <f ca="1">IF(TBL_CUOTAS[[#This Row],[CUOTA_ATRASADA]],TBL_CUOTAS[[#This Row],[MONTO_CUOTA]]-IF(TBL_CUOTAS[[#This Row],[MONTO_PAGADO]]="",0,TBL_CUOTAS[[#This Row],[MONTO_PAGADO]]),0)</f>
        <v>0</v>
      </c>
    </row>
  </sheetData>
  <conditionalFormatting sqref="G2:G175">
    <cfRule type="expression" dxfId="61" priority="2">
      <formula>AND($G2="Impago",$E2&lt;TODAY())</formula>
    </cfRule>
  </conditionalFormatting>
  <conditionalFormatting sqref="J2:K175">
    <cfRule type="expression" dxfId="60" priority="1">
      <formula>AND($G2="Impago",$E2&lt;TODAY())</formula>
    </cfRule>
  </conditionalFormatting>
  <dataValidations count="3">
    <dataValidation type="list" allowBlank="1" showInputMessage="1" showErrorMessage="1" sqref="G1:G1048576" xr:uid="{3FE1A863-D03E-4ABB-8054-8841DB4EB117}">
      <formula1>"Total, Parcial, Impago"</formula1>
    </dataValidation>
    <dataValidation type="list" allowBlank="1" showInputMessage="1" showErrorMessage="1" sqref="D1:D1048576" xr:uid="{B73F27F3-8749-4650-8B5E-FB137BCC1E1E}">
      <formula1>"PREST-1,PREST-2,PREST-3,PREST-4,PREST-5"</formula1>
    </dataValidation>
    <dataValidation type="decimal" errorStyle="information" allowBlank="1" showInputMessage="1" showErrorMessage="1" errorTitle="Tipo de dato incorrecto" error="Ingresá solo numeros" sqref="H1:I1048576" xr:uid="{42EBA38C-07B3-49AE-A1E2-FB3847768C9E}">
      <formula1>-100000000</formula1>
      <formula2>100000000</formula2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A0-EA1D-44D7-9C17-35602DC1D69F}">
  <sheetPr>
    <tabColor theme="9" tint="0.39997558519241921"/>
  </sheetPr>
  <dimension ref="A2:V83"/>
  <sheetViews>
    <sheetView topLeftCell="A49" zoomScale="85" zoomScaleNormal="85" workbookViewId="0">
      <selection activeCell="D75" sqref="D75"/>
    </sheetView>
  </sheetViews>
  <sheetFormatPr baseColWidth="10" defaultRowHeight="15" x14ac:dyDescent="0.25"/>
  <cols>
    <col min="1" max="1" width="42.5703125" bestFit="1" customWidth="1"/>
    <col min="2" max="2" width="15.85546875" bestFit="1" customWidth="1"/>
    <col min="3" max="3" width="17.85546875" bestFit="1" customWidth="1"/>
    <col min="4" max="4" width="23.7109375" bestFit="1" customWidth="1"/>
    <col min="5" max="5" width="22.42578125" bestFit="1" customWidth="1"/>
    <col min="6" max="9" width="13.7109375" bestFit="1" customWidth="1"/>
    <col min="10" max="10" width="17.5703125" bestFit="1" customWidth="1"/>
    <col min="11" max="11" width="28" bestFit="1" customWidth="1"/>
    <col min="12" max="12" width="15.7109375" bestFit="1" customWidth="1"/>
    <col min="13" max="13" width="21.42578125" bestFit="1" customWidth="1"/>
    <col min="14" max="14" width="17.85546875" bestFit="1" customWidth="1"/>
    <col min="15" max="15" width="11.140625" bestFit="1" customWidth="1"/>
    <col min="16" max="16" width="28" bestFit="1" customWidth="1"/>
    <col min="17" max="17" width="13.85546875" bestFit="1" customWidth="1"/>
    <col min="18" max="18" width="26.140625" bestFit="1" customWidth="1"/>
    <col min="19" max="19" width="11.140625" bestFit="1" customWidth="1"/>
    <col min="20" max="20" width="17.5703125" bestFit="1" customWidth="1"/>
    <col min="21" max="21" width="12.7109375" bestFit="1" customWidth="1"/>
    <col min="22" max="22" width="13.7109375" bestFit="1" customWidth="1"/>
    <col min="23" max="24" width="11.140625" bestFit="1" customWidth="1"/>
    <col min="25" max="25" width="12.7109375" bestFit="1" customWidth="1"/>
    <col min="26" max="35" width="11.140625" bestFit="1" customWidth="1"/>
    <col min="36" max="36" width="12.7109375" bestFit="1" customWidth="1"/>
    <col min="37" max="37" width="10.7109375" bestFit="1" customWidth="1"/>
    <col min="38" max="39" width="11.140625" bestFit="1" customWidth="1"/>
    <col min="40" max="42" width="10.7109375" bestFit="1" customWidth="1"/>
    <col min="43" max="43" width="12.5703125" bestFit="1" customWidth="1"/>
    <col min="44" max="67" width="10.7109375" bestFit="1" customWidth="1"/>
    <col min="68" max="68" width="12.5703125" bestFit="1" customWidth="1"/>
  </cols>
  <sheetData>
    <row r="2" spans="1:18" ht="15" customHeight="1" x14ac:dyDescent="0.25">
      <c r="A2" s="17" t="s">
        <v>99</v>
      </c>
      <c r="B2" s="17"/>
      <c r="C2" s="17"/>
      <c r="D2" s="17"/>
    </row>
    <row r="3" spans="1:18" x14ac:dyDescent="0.25">
      <c r="A3" s="17"/>
      <c r="B3" s="17"/>
      <c r="C3" s="17"/>
      <c r="D3" s="17"/>
      <c r="K3" s="17" t="s">
        <v>104</v>
      </c>
      <c r="L3" s="17"/>
      <c r="M3" s="17"/>
      <c r="P3" s="17" t="s">
        <v>123</v>
      </c>
      <c r="Q3" s="17"/>
      <c r="R3" s="17"/>
    </row>
    <row r="4" spans="1:18" ht="21.75" customHeight="1" x14ac:dyDescent="0.25">
      <c r="A4" s="1" t="s">
        <v>80</v>
      </c>
      <c r="B4" t="s">
        <v>115</v>
      </c>
      <c r="C4" t="s">
        <v>113</v>
      </c>
      <c r="D4" t="s">
        <v>82</v>
      </c>
      <c r="H4" s="17" t="s">
        <v>97</v>
      </c>
      <c r="I4" s="19"/>
      <c r="K4" s="17"/>
      <c r="L4" s="17"/>
      <c r="M4" s="17"/>
      <c r="P4" s="17"/>
      <c r="Q4" s="17"/>
      <c r="R4" s="17"/>
    </row>
    <row r="5" spans="1:18" x14ac:dyDescent="0.25">
      <c r="A5" s="2" t="s">
        <v>75</v>
      </c>
      <c r="B5" s="3">
        <v>300000</v>
      </c>
      <c r="C5" s="22">
        <v>1</v>
      </c>
      <c r="D5" s="3">
        <v>360000</v>
      </c>
      <c r="H5" s="19"/>
      <c r="I5" s="19"/>
      <c r="K5" s="1" t="s">
        <v>100</v>
      </c>
      <c r="L5" t="s">
        <v>105</v>
      </c>
      <c r="P5" s="1" t="s">
        <v>100</v>
      </c>
      <c r="Q5" t="s">
        <v>106</v>
      </c>
    </row>
    <row r="6" spans="1:18" x14ac:dyDescent="0.25">
      <c r="A6" s="2" t="s">
        <v>37</v>
      </c>
      <c r="B6" s="3">
        <v>300000</v>
      </c>
      <c r="C6" s="22">
        <v>2</v>
      </c>
      <c r="D6" s="3">
        <v>420000</v>
      </c>
      <c r="H6" s="26" t="s">
        <v>101</v>
      </c>
      <c r="I6" s="27" t="s">
        <v>85</v>
      </c>
      <c r="K6" s="2" t="s">
        <v>67</v>
      </c>
      <c r="L6" s="22">
        <v>1</v>
      </c>
      <c r="P6" s="2" t="s">
        <v>67</v>
      </c>
      <c r="Q6" s="3">
        <v>40000</v>
      </c>
    </row>
    <row r="7" spans="1:18" x14ac:dyDescent="0.25">
      <c r="A7" s="2" t="s">
        <v>72</v>
      </c>
      <c r="B7" s="3">
        <v>200000</v>
      </c>
      <c r="C7" s="22">
        <v>4</v>
      </c>
      <c r="D7" s="3">
        <v>230000</v>
      </c>
      <c r="H7" s="24" t="s">
        <v>126</v>
      </c>
      <c r="I7" s="25">
        <v>11850000</v>
      </c>
      <c r="K7" s="2" t="s">
        <v>9</v>
      </c>
      <c r="L7" s="22">
        <v>1</v>
      </c>
      <c r="P7" s="2" t="s">
        <v>9</v>
      </c>
      <c r="Q7" s="3">
        <v>44000</v>
      </c>
    </row>
    <row r="8" spans="1:18" x14ac:dyDescent="0.25">
      <c r="A8" s="2" t="s">
        <v>38</v>
      </c>
      <c r="B8" s="3">
        <v>300000</v>
      </c>
      <c r="C8" s="22">
        <v>1</v>
      </c>
      <c r="D8" s="3">
        <v>360000</v>
      </c>
      <c r="H8" s="24" t="s">
        <v>127</v>
      </c>
      <c r="I8" s="25">
        <v>2966500</v>
      </c>
      <c r="K8" s="2" t="s">
        <v>23</v>
      </c>
      <c r="L8" s="22">
        <v>1</v>
      </c>
      <c r="P8" s="2" t="s">
        <v>23</v>
      </c>
      <c r="Q8" s="3">
        <v>28750</v>
      </c>
    </row>
    <row r="9" spans="1:18" x14ac:dyDescent="0.25">
      <c r="A9" s="2" t="s">
        <v>74</v>
      </c>
      <c r="B9" s="3">
        <v>100000</v>
      </c>
      <c r="C9" s="22">
        <v>4</v>
      </c>
      <c r="D9" s="3">
        <v>114000</v>
      </c>
      <c r="H9" s="24" t="s">
        <v>128</v>
      </c>
      <c r="I9" s="25">
        <v>1100000</v>
      </c>
      <c r="K9" s="2" t="s">
        <v>33</v>
      </c>
      <c r="L9" s="22">
        <v>2</v>
      </c>
      <c r="P9" s="2" t="s">
        <v>33</v>
      </c>
      <c r="Q9" s="3">
        <v>58750</v>
      </c>
    </row>
    <row r="10" spans="1:18" x14ac:dyDescent="0.25">
      <c r="A10" s="2" t="s">
        <v>68</v>
      </c>
      <c r="B10" s="3">
        <v>100000</v>
      </c>
      <c r="C10" s="22">
        <v>2</v>
      </c>
      <c r="D10" s="3">
        <v>140000</v>
      </c>
      <c r="H10" s="24" t="s">
        <v>129</v>
      </c>
      <c r="I10" s="25">
        <v>250000</v>
      </c>
      <c r="K10" s="2" t="s">
        <v>18</v>
      </c>
      <c r="L10" s="22">
        <v>1</v>
      </c>
      <c r="P10" s="2" t="s">
        <v>18</v>
      </c>
      <c r="Q10" s="3">
        <v>120000</v>
      </c>
    </row>
    <row r="11" spans="1:18" x14ac:dyDescent="0.25">
      <c r="A11" s="2" t="s">
        <v>22</v>
      </c>
      <c r="B11" s="3">
        <v>100000</v>
      </c>
      <c r="C11" s="22">
        <v>4</v>
      </c>
      <c r="D11" s="3">
        <v>115000</v>
      </c>
      <c r="H11" s="24" t="s">
        <v>130</v>
      </c>
      <c r="I11" s="25">
        <v>300000</v>
      </c>
      <c r="K11" s="2" t="s">
        <v>64</v>
      </c>
      <c r="L11" s="22">
        <v>1</v>
      </c>
      <c r="P11" s="2" t="s">
        <v>64</v>
      </c>
      <c r="Q11" s="3">
        <v>86250</v>
      </c>
    </row>
    <row r="12" spans="1:18" x14ac:dyDescent="0.25">
      <c r="A12" s="2" t="s">
        <v>57</v>
      </c>
      <c r="B12" s="3">
        <v>270000</v>
      </c>
      <c r="C12" s="22">
        <v>1</v>
      </c>
      <c r="D12" s="3">
        <v>283500</v>
      </c>
      <c r="H12" s="24" t="s">
        <v>81</v>
      </c>
      <c r="I12" s="25">
        <v>16466500</v>
      </c>
      <c r="K12" s="2" t="s">
        <v>14</v>
      </c>
      <c r="L12" s="22">
        <v>1</v>
      </c>
      <c r="P12" s="2" t="s">
        <v>14</v>
      </c>
      <c r="Q12" s="3">
        <v>195000</v>
      </c>
    </row>
    <row r="13" spans="1:18" ht="15" customHeight="1" x14ac:dyDescent="0.25">
      <c r="A13" s="2" t="s">
        <v>23</v>
      </c>
      <c r="B13" s="3">
        <v>100000</v>
      </c>
      <c r="C13" s="22">
        <v>4</v>
      </c>
      <c r="D13" s="3">
        <v>115000</v>
      </c>
      <c r="K13" s="2" t="s">
        <v>17</v>
      </c>
      <c r="L13" s="22">
        <v>1</v>
      </c>
      <c r="P13" s="2" t="s">
        <v>17</v>
      </c>
      <c r="Q13" s="3">
        <v>120000</v>
      </c>
    </row>
    <row r="14" spans="1:18" x14ac:dyDescent="0.25">
      <c r="A14" s="2" t="s">
        <v>51</v>
      </c>
      <c r="B14" s="3">
        <v>100000</v>
      </c>
      <c r="C14" s="22">
        <v>1</v>
      </c>
      <c r="D14" s="3">
        <v>120000</v>
      </c>
      <c r="K14" s="2" t="s">
        <v>15</v>
      </c>
      <c r="L14" s="22">
        <v>1</v>
      </c>
      <c r="P14" s="2" t="s">
        <v>15</v>
      </c>
      <c r="Q14" s="3">
        <v>180000</v>
      </c>
    </row>
    <row r="15" spans="1:18" x14ac:dyDescent="0.25">
      <c r="A15" s="2" t="s">
        <v>33</v>
      </c>
      <c r="B15" s="3">
        <v>100000</v>
      </c>
      <c r="C15" s="22">
        <v>5</v>
      </c>
      <c r="D15" s="3">
        <v>116250</v>
      </c>
      <c r="K15" s="2" t="s">
        <v>60</v>
      </c>
      <c r="L15" s="22">
        <v>1</v>
      </c>
      <c r="P15" s="2" t="s">
        <v>60</v>
      </c>
      <c r="Q15" s="3">
        <v>28750</v>
      </c>
    </row>
    <row r="16" spans="1:18" x14ac:dyDescent="0.25">
      <c r="A16" s="2" t="s">
        <v>26</v>
      </c>
      <c r="B16" s="3">
        <v>500000</v>
      </c>
      <c r="C16" s="22">
        <v>4</v>
      </c>
      <c r="D16" s="3">
        <v>575000</v>
      </c>
      <c r="K16" s="2" t="s">
        <v>36</v>
      </c>
      <c r="L16" s="22">
        <v>1</v>
      </c>
      <c r="P16" s="2" t="s">
        <v>36</v>
      </c>
      <c r="Q16" s="3">
        <v>115000</v>
      </c>
    </row>
    <row r="17" spans="1:22" x14ac:dyDescent="0.25">
      <c r="A17" s="2" t="s">
        <v>62</v>
      </c>
      <c r="B17" s="3">
        <v>50000</v>
      </c>
      <c r="C17" s="22">
        <v>1</v>
      </c>
      <c r="D17" s="3">
        <v>60000</v>
      </c>
      <c r="K17" s="2" t="s">
        <v>19</v>
      </c>
      <c r="L17" s="22">
        <v>1</v>
      </c>
      <c r="P17" s="2" t="s">
        <v>19</v>
      </c>
      <c r="Q17" s="3">
        <v>120000</v>
      </c>
    </row>
    <row r="18" spans="1:22" x14ac:dyDescent="0.25">
      <c r="A18" s="2" t="s">
        <v>18</v>
      </c>
      <c r="B18" s="3">
        <v>100000</v>
      </c>
      <c r="C18" s="22">
        <v>1</v>
      </c>
      <c r="D18" s="3">
        <v>120000</v>
      </c>
      <c r="K18" s="2" t="s">
        <v>11</v>
      </c>
      <c r="L18" s="22">
        <v>1</v>
      </c>
      <c r="P18" s="2" t="s">
        <v>11</v>
      </c>
      <c r="Q18" s="3">
        <v>350000</v>
      </c>
    </row>
    <row r="19" spans="1:22" x14ac:dyDescent="0.25">
      <c r="A19" s="2" t="s">
        <v>7</v>
      </c>
      <c r="B19" s="3">
        <v>150000</v>
      </c>
      <c r="C19" s="22">
        <v>1</v>
      </c>
      <c r="D19" s="3">
        <v>180000</v>
      </c>
      <c r="K19" s="2" t="s">
        <v>47</v>
      </c>
      <c r="L19" s="22">
        <v>1</v>
      </c>
      <c r="P19" s="2" t="s">
        <v>47</v>
      </c>
      <c r="Q19" s="3">
        <v>28750</v>
      </c>
    </row>
    <row r="20" spans="1:22" x14ac:dyDescent="0.25">
      <c r="A20" s="2" t="s">
        <v>34</v>
      </c>
      <c r="B20" s="3">
        <v>100000</v>
      </c>
      <c r="C20" s="22">
        <v>1</v>
      </c>
      <c r="D20" s="3">
        <v>120000</v>
      </c>
      <c r="K20" s="2" t="s">
        <v>35</v>
      </c>
      <c r="L20" s="22">
        <v>1</v>
      </c>
      <c r="P20" s="2" t="s">
        <v>35</v>
      </c>
      <c r="Q20" s="3">
        <v>57500</v>
      </c>
    </row>
    <row r="21" spans="1:22" x14ac:dyDescent="0.25">
      <c r="A21" s="2" t="s">
        <v>50</v>
      </c>
      <c r="B21" s="3">
        <v>100000</v>
      </c>
      <c r="C21" s="22">
        <v>1</v>
      </c>
      <c r="D21" s="3">
        <v>120000</v>
      </c>
      <c r="K21" s="2" t="s">
        <v>81</v>
      </c>
      <c r="L21" s="22">
        <v>16</v>
      </c>
      <c r="N21" s="13">
        <f>GETPIVOTDATA("[Measures].[Suma de DEUDA_ATRASADA]",$P$5)</f>
        <v>1572750</v>
      </c>
      <c r="P21" s="2" t="s">
        <v>81</v>
      </c>
      <c r="Q21" s="3">
        <v>1572750</v>
      </c>
    </row>
    <row r="22" spans="1:22" x14ac:dyDescent="0.25">
      <c r="A22" s="2" t="s">
        <v>8</v>
      </c>
      <c r="B22" s="3">
        <v>100000</v>
      </c>
      <c r="C22" s="22">
        <v>1</v>
      </c>
      <c r="D22" s="3">
        <v>120000</v>
      </c>
    </row>
    <row r="23" spans="1:22" x14ac:dyDescent="0.25">
      <c r="A23" s="2" t="s">
        <v>64</v>
      </c>
      <c r="B23" s="3">
        <v>300000</v>
      </c>
      <c r="C23" s="22">
        <v>4</v>
      </c>
      <c r="D23" s="3">
        <v>345000</v>
      </c>
    </row>
    <row r="24" spans="1:22" x14ac:dyDescent="0.25">
      <c r="A24" s="2" t="s">
        <v>14</v>
      </c>
      <c r="B24" s="3">
        <v>150000</v>
      </c>
      <c r="C24" s="22">
        <v>1</v>
      </c>
      <c r="D24" s="3">
        <v>195000</v>
      </c>
      <c r="Q24" s="17" t="s">
        <v>122</v>
      </c>
      <c r="R24" s="19"/>
    </row>
    <row r="25" spans="1:22" ht="21" customHeight="1" x14ac:dyDescent="0.25">
      <c r="A25" s="2" t="s">
        <v>61</v>
      </c>
      <c r="B25" s="3">
        <v>170000</v>
      </c>
      <c r="C25" s="22">
        <v>1</v>
      </c>
      <c r="D25" s="3">
        <v>204000</v>
      </c>
      <c r="G25" s="17" t="s">
        <v>98</v>
      </c>
      <c r="H25" s="19"/>
      <c r="J25" s="17" t="s">
        <v>109</v>
      </c>
      <c r="K25" s="19"/>
      <c r="M25" s="17" t="s">
        <v>114</v>
      </c>
      <c r="N25" s="19"/>
      <c r="Q25" s="19"/>
      <c r="R25" s="19"/>
      <c r="T25" s="18"/>
      <c r="U25" s="18"/>
      <c r="V25" s="18"/>
    </row>
    <row r="26" spans="1:22" x14ac:dyDescent="0.25">
      <c r="A26" s="2" t="s">
        <v>5</v>
      </c>
      <c r="B26" s="3">
        <v>1000000</v>
      </c>
      <c r="C26" s="22">
        <v>5</v>
      </c>
      <c r="D26" s="3">
        <v>1464285</v>
      </c>
      <c r="G26" s="19"/>
      <c r="H26" s="19"/>
      <c r="J26" s="19"/>
      <c r="K26" s="19"/>
      <c r="M26" s="19"/>
      <c r="N26" s="19"/>
      <c r="Q26" s="1" t="s">
        <v>112</v>
      </c>
      <c r="R26" t="s">
        <v>121</v>
      </c>
      <c r="T26" s="1" t="s">
        <v>80</v>
      </c>
      <c r="U26" t="s">
        <v>119</v>
      </c>
      <c r="V26" t="s">
        <v>118</v>
      </c>
    </row>
    <row r="27" spans="1:22" x14ac:dyDescent="0.25">
      <c r="A27" s="2" t="s">
        <v>67</v>
      </c>
      <c r="B27" s="3">
        <v>40000</v>
      </c>
      <c r="C27" s="22">
        <v>1</v>
      </c>
      <c r="D27" s="3">
        <v>40000</v>
      </c>
      <c r="G27" s="26" t="s">
        <v>101</v>
      </c>
      <c r="H27" s="27" t="s">
        <v>85</v>
      </c>
      <c r="J27" s="1" t="s">
        <v>80</v>
      </c>
      <c r="K27" t="s">
        <v>95</v>
      </c>
      <c r="M27" s="1" t="s">
        <v>112</v>
      </c>
      <c r="N27" t="s">
        <v>113</v>
      </c>
      <c r="O27" s="12">
        <f>GETPIVOTDATA("[Measures].[Recuento de CUOTAS_ATRASADAS]",$M$27,"[TBL_CUOTAS].[CUOTAS_ATRASADAS]","[TBL_CUOTAS].[CUOTAS_ATRASADAS].&amp;[1]")</f>
        <v>16</v>
      </c>
      <c r="Q27" s="2" t="s">
        <v>87</v>
      </c>
      <c r="R27" s="3"/>
      <c r="T27" s="2" t="s">
        <v>87</v>
      </c>
      <c r="U27" s="3"/>
      <c r="V27" s="3"/>
    </row>
    <row r="28" spans="1:22" x14ac:dyDescent="0.25">
      <c r="A28" s="2" t="s">
        <v>10</v>
      </c>
      <c r="B28" s="3">
        <v>1000000</v>
      </c>
      <c r="C28" s="22">
        <v>8</v>
      </c>
      <c r="D28" s="3">
        <v>765000</v>
      </c>
      <c r="G28" s="24" t="s">
        <v>126</v>
      </c>
      <c r="H28" s="25">
        <v>11850000</v>
      </c>
      <c r="J28" s="2" t="s">
        <v>87</v>
      </c>
      <c r="K28" s="3"/>
      <c r="M28" s="2" t="s">
        <v>110</v>
      </c>
      <c r="N28" s="22">
        <v>158</v>
      </c>
      <c r="Q28" s="5" t="s">
        <v>88</v>
      </c>
      <c r="R28" s="3">
        <v>239000</v>
      </c>
      <c r="T28" s="5" t="s">
        <v>88</v>
      </c>
      <c r="U28" s="3">
        <v>1345000</v>
      </c>
      <c r="V28" s="3">
        <v>1584000</v>
      </c>
    </row>
    <row r="29" spans="1:22" x14ac:dyDescent="0.25">
      <c r="A29" s="2" t="s">
        <v>13</v>
      </c>
      <c r="B29" s="3">
        <v>650000</v>
      </c>
      <c r="C29" s="22">
        <v>2</v>
      </c>
      <c r="D29" s="3">
        <v>910000</v>
      </c>
      <c r="G29" s="24" t="s">
        <v>127</v>
      </c>
      <c r="H29" s="25">
        <v>2966500</v>
      </c>
      <c r="J29" s="5" t="s">
        <v>88</v>
      </c>
      <c r="K29" s="3">
        <v>1345000</v>
      </c>
      <c r="M29" s="2" t="s">
        <v>111</v>
      </c>
      <c r="N29" s="22">
        <v>16</v>
      </c>
      <c r="Q29" s="5" t="s">
        <v>89</v>
      </c>
      <c r="R29" s="3">
        <v>1333750</v>
      </c>
      <c r="T29" s="5" t="s">
        <v>89</v>
      </c>
      <c r="U29" s="3">
        <v>1936482</v>
      </c>
      <c r="V29" s="3">
        <v>11064940.6667</v>
      </c>
    </row>
    <row r="30" spans="1:22" x14ac:dyDescent="0.25">
      <c r="A30" s="2" t="s">
        <v>29</v>
      </c>
      <c r="B30" s="3">
        <v>100000</v>
      </c>
      <c r="C30" s="22">
        <v>1</v>
      </c>
      <c r="D30" s="3">
        <v>120000</v>
      </c>
      <c r="G30" s="24" t="s">
        <v>128</v>
      </c>
      <c r="H30" s="25">
        <v>1100000</v>
      </c>
      <c r="J30" s="5" t="s">
        <v>89</v>
      </c>
      <c r="K30" s="3">
        <v>1936482</v>
      </c>
      <c r="M30" s="2" t="s">
        <v>81</v>
      </c>
      <c r="N30" s="22">
        <v>174</v>
      </c>
      <c r="Q30" s="2" t="s">
        <v>90</v>
      </c>
      <c r="R30" s="3"/>
      <c r="T30" s="2" t="s">
        <v>90</v>
      </c>
      <c r="U30" s="3"/>
      <c r="V30" s="3"/>
    </row>
    <row r="31" spans="1:22" x14ac:dyDescent="0.25">
      <c r="A31" s="2" t="s">
        <v>16</v>
      </c>
      <c r="B31" s="3">
        <v>100000</v>
      </c>
      <c r="C31" s="22">
        <v>4</v>
      </c>
      <c r="D31" s="3">
        <v>86250</v>
      </c>
      <c r="G31" s="24" t="s">
        <v>129</v>
      </c>
      <c r="H31" s="25">
        <v>250000</v>
      </c>
      <c r="J31" s="2" t="s">
        <v>90</v>
      </c>
      <c r="K31" s="3"/>
      <c r="Q31" s="5" t="s">
        <v>91</v>
      </c>
      <c r="R31" s="3">
        <v>0</v>
      </c>
      <c r="T31" s="5" t="s">
        <v>91</v>
      </c>
      <c r="U31" s="3">
        <v>283500</v>
      </c>
      <c r="V31" s="3">
        <v>4417440.6666999999</v>
      </c>
    </row>
    <row r="32" spans="1:22" x14ac:dyDescent="0.25">
      <c r="A32" s="2" t="s">
        <v>20</v>
      </c>
      <c r="B32" s="3">
        <v>200000</v>
      </c>
      <c r="C32" s="22">
        <v>2</v>
      </c>
      <c r="D32" s="3">
        <v>240000</v>
      </c>
      <c r="G32" s="24" t="s">
        <v>130</v>
      </c>
      <c r="H32" s="25">
        <v>300000</v>
      </c>
      <c r="J32" s="5" t="s">
        <v>91</v>
      </c>
      <c r="K32" s="3">
        <v>283500</v>
      </c>
      <c r="Q32" s="5" t="s">
        <v>92</v>
      </c>
      <c r="R32" s="3">
        <v>0</v>
      </c>
      <c r="T32" s="5" t="s">
        <v>92</v>
      </c>
      <c r="U32" s="3">
        <v>0</v>
      </c>
      <c r="V32" s="3">
        <v>1406190.6666999999</v>
      </c>
    </row>
    <row r="33" spans="1:22" x14ac:dyDescent="0.25">
      <c r="A33" s="2" t="s">
        <v>53</v>
      </c>
      <c r="B33" s="3">
        <v>150000</v>
      </c>
      <c r="C33" s="22">
        <v>4</v>
      </c>
      <c r="D33" s="3">
        <v>172500</v>
      </c>
      <c r="G33" s="24" t="s">
        <v>81</v>
      </c>
      <c r="H33" s="25">
        <v>16466500</v>
      </c>
      <c r="J33" s="5" t="s">
        <v>92</v>
      </c>
      <c r="K33" s="3">
        <v>0</v>
      </c>
      <c r="Q33" s="5" t="s">
        <v>93</v>
      </c>
      <c r="R33" s="3">
        <v>0</v>
      </c>
      <c r="T33" s="5" t="s">
        <v>93</v>
      </c>
      <c r="U33" s="3">
        <v>0</v>
      </c>
      <c r="V33" s="3">
        <v>579524</v>
      </c>
    </row>
    <row r="34" spans="1:22" x14ac:dyDescent="0.25">
      <c r="A34" s="2" t="s">
        <v>42</v>
      </c>
      <c r="B34" s="3">
        <v>100000</v>
      </c>
      <c r="C34" s="22">
        <v>4</v>
      </c>
      <c r="D34" s="3">
        <v>115000</v>
      </c>
      <c r="J34" s="5" t="s">
        <v>93</v>
      </c>
      <c r="K34" s="3">
        <v>0</v>
      </c>
      <c r="Q34" s="5" t="s">
        <v>94</v>
      </c>
      <c r="R34" s="3">
        <v>0</v>
      </c>
      <c r="T34" s="5" t="s">
        <v>94</v>
      </c>
      <c r="U34" s="3">
        <v>0</v>
      </c>
      <c r="V34" s="3">
        <v>579524</v>
      </c>
    </row>
    <row r="35" spans="1:22" x14ac:dyDescent="0.25">
      <c r="A35" s="2" t="s">
        <v>71</v>
      </c>
      <c r="B35" s="3">
        <v>100000</v>
      </c>
      <c r="C35" s="22">
        <v>4</v>
      </c>
      <c r="D35" s="3">
        <v>115000</v>
      </c>
      <c r="J35" s="5" t="s">
        <v>94</v>
      </c>
      <c r="K35" s="3">
        <v>0</v>
      </c>
      <c r="Q35" s="2" t="s">
        <v>81</v>
      </c>
      <c r="R35" s="3">
        <v>1572750</v>
      </c>
      <c r="T35" s="2" t="s">
        <v>81</v>
      </c>
      <c r="U35" s="3">
        <v>3564982</v>
      </c>
      <c r="V35" s="3">
        <v>19631620.000100002</v>
      </c>
    </row>
    <row r="36" spans="1:22" x14ac:dyDescent="0.25">
      <c r="A36" s="2" t="s">
        <v>44</v>
      </c>
      <c r="B36" s="3">
        <v>200000</v>
      </c>
      <c r="C36" s="22">
        <v>4</v>
      </c>
      <c r="D36" s="3">
        <v>230000</v>
      </c>
      <c r="J36" s="2" t="s">
        <v>81</v>
      </c>
      <c r="K36" s="3">
        <v>3564982</v>
      </c>
      <c r="L36" s="13">
        <f>GETPIVOTDATA("[Measures].[Suma de INGRESO]",$J$27)</f>
        <v>3564982</v>
      </c>
    </row>
    <row r="37" spans="1:22" ht="15.75" thickBot="1" x14ac:dyDescent="0.3">
      <c r="A37" s="2" t="s">
        <v>39</v>
      </c>
      <c r="B37" s="3">
        <v>200000</v>
      </c>
      <c r="C37" s="22">
        <v>1</v>
      </c>
      <c r="D37" s="3">
        <v>240000</v>
      </c>
    </row>
    <row r="38" spans="1:22" ht="15.75" thickBot="1" x14ac:dyDescent="0.3">
      <c r="A38" s="2" t="s">
        <v>32</v>
      </c>
      <c r="B38" s="3">
        <v>100000</v>
      </c>
      <c r="C38" s="22">
        <v>2</v>
      </c>
      <c r="D38" s="3">
        <v>107500</v>
      </c>
      <c r="J38" s="14" t="s">
        <v>116</v>
      </c>
    </row>
    <row r="39" spans="1:22" ht="15.75" thickBot="1" x14ac:dyDescent="0.3">
      <c r="A39" s="2" t="s">
        <v>31</v>
      </c>
      <c r="B39" s="3">
        <v>200000</v>
      </c>
      <c r="C39" s="22">
        <v>4</v>
      </c>
      <c r="D39" s="3">
        <v>230000</v>
      </c>
      <c r="J39" s="23">
        <v>79</v>
      </c>
    </row>
    <row r="40" spans="1:22" x14ac:dyDescent="0.25">
      <c r="A40" s="2" t="s">
        <v>54</v>
      </c>
      <c r="B40" s="3">
        <v>200000</v>
      </c>
      <c r="C40" s="22">
        <v>4</v>
      </c>
      <c r="D40" s="3">
        <v>230000</v>
      </c>
      <c r="J40" s="12">
        <f>GETPIVOTDATA("[Measures].[Recuento de ID_PRESTAMO]",$J$38)</f>
        <v>79</v>
      </c>
    </row>
    <row r="41" spans="1:22" x14ac:dyDescent="0.25">
      <c r="A41" s="2" t="s">
        <v>17</v>
      </c>
      <c r="B41" s="3">
        <v>100000</v>
      </c>
      <c r="C41" s="22">
        <v>1</v>
      </c>
      <c r="D41" s="3">
        <v>120000</v>
      </c>
    </row>
    <row r="42" spans="1:22" x14ac:dyDescent="0.25">
      <c r="A42" s="2" t="s">
        <v>58</v>
      </c>
      <c r="B42" s="3">
        <v>50000</v>
      </c>
      <c r="C42" s="22">
        <v>1</v>
      </c>
      <c r="D42" s="3">
        <v>60000</v>
      </c>
    </row>
    <row r="43" spans="1:22" x14ac:dyDescent="0.25">
      <c r="A43" s="2" t="s">
        <v>46</v>
      </c>
      <c r="B43" s="3">
        <v>100000</v>
      </c>
      <c r="C43" s="22">
        <v>1</v>
      </c>
      <c r="D43" s="3">
        <v>120000</v>
      </c>
    </row>
    <row r="44" spans="1:22" x14ac:dyDescent="0.25">
      <c r="A44" s="2" t="s">
        <v>12</v>
      </c>
      <c r="B44" s="3">
        <v>300000</v>
      </c>
      <c r="C44" s="22">
        <v>1</v>
      </c>
      <c r="D44" s="3">
        <v>360000</v>
      </c>
    </row>
    <row r="45" spans="1:22" x14ac:dyDescent="0.25">
      <c r="A45" s="2" t="s">
        <v>41</v>
      </c>
      <c r="B45" s="3">
        <v>300000</v>
      </c>
      <c r="C45" s="22">
        <v>4</v>
      </c>
      <c r="D45" s="3">
        <v>345000</v>
      </c>
    </row>
    <row r="46" spans="1:22" x14ac:dyDescent="0.25">
      <c r="A46" s="2" t="s">
        <v>59</v>
      </c>
      <c r="B46" s="3">
        <v>70000</v>
      </c>
      <c r="C46" s="22">
        <v>1</v>
      </c>
      <c r="D46" s="3">
        <v>-84000</v>
      </c>
    </row>
    <row r="47" spans="1:22" x14ac:dyDescent="0.25">
      <c r="A47" s="2" t="s">
        <v>69</v>
      </c>
      <c r="B47" s="3">
        <v>300000</v>
      </c>
      <c r="C47" s="22">
        <v>2</v>
      </c>
      <c r="D47" s="3">
        <v>420000</v>
      </c>
    </row>
    <row r="48" spans="1:22" x14ac:dyDescent="0.25">
      <c r="A48" s="2" t="s">
        <v>15</v>
      </c>
      <c r="B48" s="3">
        <v>150000</v>
      </c>
      <c r="C48" s="22">
        <v>1</v>
      </c>
      <c r="D48" s="3">
        <v>180000</v>
      </c>
    </row>
    <row r="49" spans="1:12" x14ac:dyDescent="0.25">
      <c r="A49" s="2" t="s">
        <v>55</v>
      </c>
      <c r="B49" s="3">
        <v>250000</v>
      </c>
      <c r="C49" s="22">
        <v>1</v>
      </c>
      <c r="D49" s="3">
        <v>300000</v>
      </c>
    </row>
    <row r="50" spans="1:12" x14ac:dyDescent="0.25">
      <c r="A50" s="2" t="s">
        <v>63</v>
      </c>
      <c r="B50" s="3">
        <v>150000</v>
      </c>
      <c r="C50" s="22">
        <v>2</v>
      </c>
      <c r="D50" s="3">
        <v>172500</v>
      </c>
    </row>
    <row r="51" spans="1:12" x14ac:dyDescent="0.25">
      <c r="A51" s="2" t="s">
        <v>60</v>
      </c>
      <c r="B51" s="3">
        <v>100000</v>
      </c>
      <c r="C51" s="22">
        <v>4</v>
      </c>
      <c r="D51" s="3">
        <v>115000</v>
      </c>
    </row>
    <row r="52" spans="1:12" x14ac:dyDescent="0.25">
      <c r="A52" s="2" t="s">
        <v>45</v>
      </c>
      <c r="B52" s="3">
        <v>100000</v>
      </c>
      <c r="C52" s="22">
        <v>1</v>
      </c>
      <c r="D52" s="3">
        <v>120000</v>
      </c>
    </row>
    <row r="53" spans="1:12" x14ac:dyDescent="0.25">
      <c r="A53" s="2" t="s">
        <v>21</v>
      </c>
      <c r="B53" s="3">
        <v>650000</v>
      </c>
      <c r="C53" s="22">
        <v>3</v>
      </c>
      <c r="D53" s="3">
        <v>880000</v>
      </c>
    </row>
    <row r="54" spans="1:12" x14ac:dyDescent="0.25">
      <c r="A54" s="2" t="s">
        <v>30</v>
      </c>
      <c r="B54" s="3">
        <v>200000</v>
      </c>
      <c r="C54" s="22">
        <v>1</v>
      </c>
      <c r="D54" s="3">
        <v>230000</v>
      </c>
    </row>
    <row r="55" spans="1:12" x14ac:dyDescent="0.25">
      <c r="A55" s="2" t="s">
        <v>66</v>
      </c>
      <c r="B55" s="3">
        <v>300000</v>
      </c>
      <c r="C55" s="22">
        <v>4</v>
      </c>
      <c r="D55" s="3">
        <v>360000</v>
      </c>
    </row>
    <row r="56" spans="1:12" x14ac:dyDescent="0.25">
      <c r="A56" s="2" t="s">
        <v>6</v>
      </c>
      <c r="B56" s="3">
        <v>200000</v>
      </c>
      <c r="C56" s="22">
        <v>5</v>
      </c>
      <c r="D56" s="3">
        <v>235000</v>
      </c>
    </row>
    <row r="57" spans="1:12" x14ac:dyDescent="0.25">
      <c r="A57" s="2" t="s">
        <v>52</v>
      </c>
      <c r="B57" s="3">
        <v>300000</v>
      </c>
      <c r="C57" s="22">
        <v>1</v>
      </c>
      <c r="D57" s="3">
        <v>360000</v>
      </c>
    </row>
    <row r="58" spans="1:12" ht="15.75" thickBot="1" x14ac:dyDescent="0.3">
      <c r="A58" s="2" t="s">
        <v>43</v>
      </c>
      <c r="B58" s="3">
        <v>100000</v>
      </c>
      <c r="C58" s="22">
        <v>1</v>
      </c>
      <c r="D58" s="3">
        <v>120000</v>
      </c>
    </row>
    <row r="59" spans="1:12" x14ac:dyDescent="0.25">
      <c r="A59" s="2" t="s">
        <v>9</v>
      </c>
      <c r="B59" s="3">
        <v>40000</v>
      </c>
      <c r="C59" s="22">
        <v>1</v>
      </c>
      <c r="D59" s="3">
        <v>44000</v>
      </c>
      <c r="L59" s="11" t="s">
        <v>117</v>
      </c>
    </row>
    <row r="60" spans="1:12" ht="15.75" thickBot="1" x14ac:dyDescent="0.3">
      <c r="A60" s="2" t="s">
        <v>24</v>
      </c>
      <c r="B60" s="3">
        <v>500000</v>
      </c>
      <c r="C60" s="22">
        <v>3</v>
      </c>
      <c r="D60" s="3">
        <v>800000.00010000006</v>
      </c>
      <c r="L60" s="15">
        <f ca="1">SUMIFS(TBL_CUOTAS[MONTO_CUOTA],
TBL_CUOTAS[FECHA_CUOTA],"&gt;="&amp;TODAY(),
TBL_CUOTAS[FECHA_CUOTA],"&lt;="&amp;TODAY()+30,
TBL_CUOTAS[ESTADO],"&lt;&gt;Total")</f>
        <v>10312458.6667</v>
      </c>
    </row>
    <row r="61" spans="1:12" x14ac:dyDescent="0.25">
      <c r="A61" s="2" t="s">
        <v>126</v>
      </c>
      <c r="B61" s="3">
        <v>1000000</v>
      </c>
      <c r="C61" s="22">
        <v>6</v>
      </c>
      <c r="D61" s="3">
        <v>1433335</v>
      </c>
    </row>
    <row r="62" spans="1:12" x14ac:dyDescent="0.25">
      <c r="A62" s="2" t="s">
        <v>131</v>
      </c>
      <c r="B62" s="3">
        <v>86500</v>
      </c>
      <c r="C62" s="22">
        <v>1</v>
      </c>
      <c r="D62" s="3">
        <v>86500</v>
      </c>
    </row>
    <row r="63" spans="1:12" x14ac:dyDescent="0.25">
      <c r="A63" s="2" t="s">
        <v>36</v>
      </c>
      <c r="B63" s="3">
        <v>400000</v>
      </c>
      <c r="C63" s="22">
        <v>4</v>
      </c>
      <c r="D63" s="3">
        <v>460000</v>
      </c>
    </row>
    <row r="64" spans="1:12" x14ac:dyDescent="0.25">
      <c r="A64" s="2" t="s">
        <v>56</v>
      </c>
      <c r="B64" s="3">
        <v>150000</v>
      </c>
      <c r="C64" s="22">
        <v>1</v>
      </c>
      <c r="D64" s="3">
        <v>180000</v>
      </c>
    </row>
    <row r="65" spans="1:4" x14ac:dyDescent="0.25">
      <c r="A65" s="2" t="s">
        <v>65</v>
      </c>
      <c r="B65" s="3">
        <v>300000</v>
      </c>
      <c r="C65" s="22">
        <v>1</v>
      </c>
      <c r="D65" s="3">
        <v>360000</v>
      </c>
    </row>
    <row r="66" spans="1:4" x14ac:dyDescent="0.25">
      <c r="A66" s="2" t="s">
        <v>40</v>
      </c>
      <c r="B66" s="3">
        <v>100000</v>
      </c>
      <c r="C66" s="22">
        <v>1</v>
      </c>
      <c r="D66" s="3">
        <v>120000</v>
      </c>
    </row>
    <row r="67" spans="1:4" x14ac:dyDescent="0.25">
      <c r="A67" s="2" t="s">
        <v>27</v>
      </c>
      <c r="B67" s="3">
        <v>100000</v>
      </c>
      <c r="C67" s="22">
        <v>1</v>
      </c>
      <c r="D67" s="3">
        <v>120000</v>
      </c>
    </row>
    <row r="68" spans="1:4" x14ac:dyDescent="0.25">
      <c r="A68" s="2" t="s">
        <v>49</v>
      </c>
      <c r="B68" s="3">
        <v>300000</v>
      </c>
      <c r="C68" s="22">
        <v>4</v>
      </c>
      <c r="D68" s="3">
        <v>345000</v>
      </c>
    </row>
    <row r="69" spans="1:4" x14ac:dyDescent="0.25">
      <c r="A69" s="2" t="s">
        <v>19</v>
      </c>
      <c r="B69" s="3">
        <v>100000</v>
      </c>
      <c r="C69" s="22">
        <v>1</v>
      </c>
      <c r="D69" s="3">
        <v>120000</v>
      </c>
    </row>
    <row r="70" spans="1:4" x14ac:dyDescent="0.25">
      <c r="A70" s="2" t="s">
        <v>73</v>
      </c>
      <c r="B70" s="3">
        <v>100000</v>
      </c>
      <c r="C70" s="22">
        <v>4</v>
      </c>
      <c r="D70" s="3">
        <v>115000</v>
      </c>
    </row>
    <row r="71" spans="1:4" x14ac:dyDescent="0.25">
      <c r="A71" s="2" t="s">
        <v>28</v>
      </c>
      <c r="B71" s="3">
        <v>340000</v>
      </c>
      <c r="C71" s="22">
        <v>8</v>
      </c>
      <c r="D71" s="3">
        <v>391000</v>
      </c>
    </row>
    <row r="72" spans="1:4" x14ac:dyDescent="0.25">
      <c r="A72" s="2" t="s">
        <v>48</v>
      </c>
      <c r="B72" s="3">
        <v>100000</v>
      </c>
      <c r="C72" s="22">
        <v>1</v>
      </c>
      <c r="D72" s="3">
        <v>120000</v>
      </c>
    </row>
    <row r="73" spans="1:4" x14ac:dyDescent="0.25">
      <c r="A73" s="2" t="s">
        <v>11</v>
      </c>
      <c r="B73" s="3">
        <v>500000</v>
      </c>
      <c r="C73" s="22">
        <v>2</v>
      </c>
      <c r="D73" s="3">
        <v>350000</v>
      </c>
    </row>
    <row r="74" spans="1:4" x14ac:dyDescent="0.25">
      <c r="A74" s="2" t="s">
        <v>70</v>
      </c>
      <c r="B74" s="3">
        <v>200000</v>
      </c>
      <c r="C74" s="22">
        <v>4</v>
      </c>
      <c r="D74" s="3">
        <v>230000</v>
      </c>
    </row>
    <row r="75" spans="1:4" x14ac:dyDescent="0.25">
      <c r="A75" s="2" t="s">
        <v>47</v>
      </c>
      <c r="B75" s="3">
        <v>100000</v>
      </c>
      <c r="C75" s="22">
        <v>4</v>
      </c>
      <c r="D75" s="3">
        <v>115000</v>
      </c>
    </row>
    <row r="76" spans="1:4" x14ac:dyDescent="0.25">
      <c r="A76" s="2" t="s">
        <v>35</v>
      </c>
      <c r="B76" s="3">
        <v>200000</v>
      </c>
      <c r="C76" s="22">
        <v>4</v>
      </c>
      <c r="D76" s="3">
        <v>230000</v>
      </c>
    </row>
    <row r="77" spans="1:4" x14ac:dyDescent="0.25">
      <c r="A77" s="2" t="s">
        <v>25</v>
      </c>
      <c r="B77" s="3">
        <v>100000</v>
      </c>
      <c r="C77" s="22">
        <v>1</v>
      </c>
      <c r="D77" s="3">
        <v>120000</v>
      </c>
    </row>
    <row r="78" spans="1:4" x14ac:dyDescent="0.25">
      <c r="A78" s="2" t="s">
        <v>81</v>
      </c>
      <c r="B78" s="3">
        <v>16466500</v>
      </c>
      <c r="C78" s="22">
        <v>182</v>
      </c>
      <c r="D78" s="3">
        <v>19631620.000100002</v>
      </c>
    </row>
    <row r="79" spans="1:4" x14ac:dyDescent="0.25">
      <c r="B79" s="13">
        <f>GETPIVOTDATA("[Measures].[Suma de MONTO_PRESTAMO]",$A$4)</f>
        <v>16466500</v>
      </c>
      <c r="D79" s="13">
        <f>GETPIVOTDATA("[Measures].[Suma de MONTO_CUOTA]",$A$4)</f>
        <v>19631620.000100002</v>
      </c>
    </row>
    <row r="82" spans="3:4" x14ac:dyDescent="0.25">
      <c r="C82" s="16" t="s">
        <v>132</v>
      </c>
      <c r="D82" s="13">
        <v>3165120</v>
      </c>
    </row>
    <row r="83" spans="3:4" x14ac:dyDescent="0.25">
      <c r="C83" t="s">
        <v>133</v>
      </c>
      <c r="D83" s="28">
        <f>D79/B79-1</f>
        <v>0.19221571069140375</v>
      </c>
    </row>
  </sheetData>
  <mergeCells count="9">
    <mergeCell ref="P3:R4"/>
    <mergeCell ref="T25:V25"/>
    <mergeCell ref="Q24:R25"/>
    <mergeCell ref="A2:D3"/>
    <mergeCell ref="H4:I5"/>
    <mergeCell ref="G25:H26"/>
    <mergeCell ref="K3:M4"/>
    <mergeCell ref="J25:K26"/>
    <mergeCell ref="M25:N26"/>
  </mergeCells>
  <pageMargins left="0.7" right="0.7" top="0.75" bottom="0.75" header="0.3" footer="0.3"/>
  <pageSetup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F66D-102E-40AF-BC32-7D3495CD0CC5}">
  <sheetPr>
    <tabColor theme="2" tint="-9.9978637043366805E-2"/>
  </sheetPr>
  <dimension ref="A1:F29"/>
  <sheetViews>
    <sheetView workbookViewId="0">
      <selection activeCell="G30" sqref="G30"/>
    </sheetView>
  </sheetViews>
  <sheetFormatPr baseColWidth="10" defaultRowHeight="15" x14ac:dyDescent="0.25"/>
  <cols>
    <col min="1" max="2" width="13.7109375" bestFit="1" customWidth="1"/>
    <col min="3" max="3" width="12.7109375" bestFit="1" customWidth="1"/>
    <col min="4" max="6" width="13.7109375" bestFit="1" customWidth="1"/>
    <col min="8" max="8" width="21.42578125" bestFit="1" customWidth="1"/>
    <col min="9" max="9" width="17.85546875" bestFit="1" customWidth="1"/>
  </cols>
  <sheetData>
    <row r="1" spans="1:6" ht="21" x14ac:dyDescent="0.25">
      <c r="A1" s="18" t="s">
        <v>124</v>
      </c>
      <c r="B1" s="18"/>
      <c r="C1" s="18"/>
      <c r="E1" s="20" t="s">
        <v>125</v>
      </c>
      <c r="F1" s="20"/>
    </row>
    <row r="2" spans="1:6" x14ac:dyDescent="0.25">
      <c r="A2" s="1" t="s">
        <v>80</v>
      </c>
      <c r="B2" t="s">
        <v>118</v>
      </c>
      <c r="C2" t="s">
        <v>119</v>
      </c>
      <c r="E2" s="1" t="s">
        <v>100</v>
      </c>
      <c r="F2" t="s">
        <v>106</v>
      </c>
    </row>
    <row r="3" spans="1:6" x14ac:dyDescent="0.25">
      <c r="A3" s="2" t="s">
        <v>87</v>
      </c>
      <c r="B3" s="3"/>
      <c r="C3" s="3"/>
      <c r="E3" s="2" t="s">
        <v>47</v>
      </c>
      <c r="F3" s="3">
        <v>28750</v>
      </c>
    </row>
    <row r="4" spans="1:6" x14ac:dyDescent="0.25">
      <c r="A4" s="5" t="s">
        <v>88</v>
      </c>
      <c r="B4" s="3">
        <v>1584000</v>
      </c>
      <c r="C4" s="3">
        <v>1345000</v>
      </c>
      <c r="E4" s="2" t="s">
        <v>23</v>
      </c>
      <c r="F4" s="3">
        <v>28750</v>
      </c>
    </row>
    <row r="5" spans="1:6" x14ac:dyDescent="0.25">
      <c r="A5" s="5" t="s">
        <v>89</v>
      </c>
      <c r="B5" s="3">
        <v>11064940.6667</v>
      </c>
      <c r="C5" s="3">
        <v>1936482</v>
      </c>
      <c r="E5" s="2" t="s">
        <v>60</v>
      </c>
      <c r="F5" s="3">
        <v>28750</v>
      </c>
    </row>
    <row r="6" spans="1:6" x14ac:dyDescent="0.25">
      <c r="A6" s="2" t="s">
        <v>90</v>
      </c>
      <c r="B6" s="3"/>
      <c r="C6" s="3"/>
      <c r="E6" s="2" t="s">
        <v>67</v>
      </c>
      <c r="F6" s="3">
        <v>40000</v>
      </c>
    </row>
    <row r="7" spans="1:6" x14ac:dyDescent="0.25">
      <c r="A7" s="5" t="s">
        <v>91</v>
      </c>
      <c r="B7" s="3">
        <v>4417440.6666999999</v>
      </c>
      <c r="C7" s="3">
        <v>283500</v>
      </c>
      <c r="E7" s="2" t="s">
        <v>9</v>
      </c>
      <c r="F7" s="3">
        <v>44000</v>
      </c>
    </row>
    <row r="8" spans="1:6" x14ac:dyDescent="0.25">
      <c r="A8" s="5" t="s">
        <v>92</v>
      </c>
      <c r="B8" s="3">
        <v>1406190.6666999999</v>
      </c>
      <c r="C8" s="3">
        <v>0</v>
      </c>
      <c r="E8" s="2" t="s">
        <v>35</v>
      </c>
      <c r="F8" s="3">
        <v>57500</v>
      </c>
    </row>
    <row r="9" spans="1:6" x14ac:dyDescent="0.25">
      <c r="A9" s="5" t="s">
        <v>93</v>
      </c>
      <c r="B9" s="3">
        <v>579524</v>
      </c>
      <c r="C9" s="3">
        <v>0</v>
      </c>
      <c r="E9" s="2" t="s">
        <v>33</v>
      </c>
      <c r="F9" s="3">
        <v>58750</v>
      </c>
    </row>
    <row r="10" spans="1:6" x14ac:dyDescent="0.25">
      <c r="A10" s="5" t="s">
        <v>94</v>
      </c>
      <c r="B10" s="3">
        <v>579524</v>
      </c>
      <c r="C10" s="3">
        <v>0</v>
      </c>
      <c r="E10" s="2" t="s">
        <v>64</v>
      </c>
      <c r="F10" s="3">
        <v>86250</v>
      </c>
    </row>
    <row r="11" spans="1:6" x14ac:dyDescent="0.25">
      <c r="A11" s="2" t="s">
        <v>81</v>
      </c>
      <c r="B11" s="3">
        <v>19631620.000100002</v>
      </c>
      <c r="C11" s="3">
        <v>3564982</v>
      </c>
      <c r="E11" s="2" t="s">
        <v>36</v>
      </c>
      <c r="F11" s="3">
        <v>115000</v>
      </c>
    </row>
    <row r="12" spans="1:6" x14ac:dyDescent="0.25">
      <c r="E12" s="2" t="s">
        <v>17</v>
      </c>
      <c r="F12" s="3">
        <v>120000</v>
      </c>
    </row>
    <row r="13" spans="1:6" x14ac:dyDescent="0.25">
      <c r="E13" s="2" t="s">
        <v>19</v>
      </c>
      <c r="F13" s="3">
        <v>120000</v>
      </c>
    </row>
    <row r="14" spans="1:6" x14ac:dyDescent="0.25">
      <c r="A14" s="17" t="s">
        <v>114</v>
      </c>
      <c r="B14" s="19"/>
      <c r="E14" s="2" t="s">
        <v>18</v>
      </c>
      <c r="F14" s="3">
        <v>120000</v>
      </c>
    </row>
    <row r="15" spans="1:6" x14ac:dyDescent="0.25">
      <c r="A15" s="19"/>
      <c r="B15" s="19"/>
      <c r="E15" s="2" t="s">
        <v>15</v>
      </c>
      <c r="F15" s="3">
        <v>180000</v>
      </c>
    </row>
    <row r="16" spans="1:6" x14ac:dyDescent="0.25">
      <c r="A16" s="1" t="s">
        <v>112</v>
      </c>
      <c r="B16" t="s">
        <v>113</v>
      </c>
      <c r="E16" s="2" t="s">
        <v>14</v>
      </c>
      <c r="F16" s="3">
        <v>195000</v>
      </c>
    </row>
    <row r="17" spans="1:6" x14ac:dyDescent="0.25">
      <c r="A17" s="2" t="s">
        <v>110</v>
      </c>
      <c r="B17" s="22">
        <v>158</v>
      </c>
      <c r="E17" s="2" t="s">
        <v>11</v>
      </c>
      <c r="F17" s="3">
        <v>350000</v>
      </c>
    </row>
    <row r="18" spans="1:6" x14ac:dyDescent="0.25">
      <c r="A18" s="2" t="s">
        <v>111</v>
      </c>
      <c r="B18" s="22">
        <v>16</v>
      </c>
      <c r="E18" s="2" t="s">
        <v>81</v>
      </c>
      <c r="F18" s="3">
        <v>1572750</v>
      </c>
    </row>
    <row r="19" spans="1:6" x14ac:dyDescent="0.25">
      <c r="A19" s="2" t="s">
        <v>81</v>
      </c>
      <c r="B19" s="22">
        <v>174</v>
      </c>
    </row>
    <row r="20" spans="1:6" x14ac:dyDescent="0.25">
      <c r="E20" s="17" t="s">
        <v>97</v>
      </c>
      <c r="F20" s="19"/>
    </row>
    <row r="21" spans="1:6" x14ac:dyDescent="0.25">
      <c r="A21" s="17" t="s">
        <v>98</v>
      </c>
      <c r="B21" s="19"/>
      <c r="E21" s="19"/>
      <c r="F21" s="19"/>
    </row>
    <row r="22" spans="1:6" x14ac:dyDescent="0.25">
      <c r="A22" s="19"/>
      <c r="B22" s="19"/>
      <c r="E22" s="26" t="s">
        <v>101</v>
      </c>
      <c r="F22" s="27" t="s">
        <v>85</v>
      </c>
    </row>
    <row r="23" spans="1:6" x14ac:dyDescent="0.25">
      <c r="A23" s="26" t="s">
        <v>101</v>
      </c>
      <c r="B23" s="27" t="s">
        <v>85</v>
      </c>
      <c r="E23" s="24" t="s">
        <v>126</v>
      </c>
      <c r="F23" s="25">
        <v>11850000</v>
      </c>
    </row>
    <row r="24" spans="1:6" x14ac:dyDescent="0.25">
      <c r="A24" s="24" t="s">
        <v>126</v>
      </c>
      <c r="B24" s="25">
        <v>11850000</v>
      </c>
      <c r="E24" s="24" t="s">
        <v>127</v>
      </c>
      <c r="F24" s="25">
        <v>2966500</v>
      </c>
    </row>
    <row r="25" spans="1:6" x14ac:dyDescent="0.25">
      <c r="A25" s="24" t="s">
        <v>127</v>
      </c>
      <c r="B25" s="25">
        <v>2966500</v>
      </c>
      <c r="E25" s="24" t="s">
        <v>128</v>
      </c>
      <c r="F25" s="25">
        <v>1100000</v>
      </c>
    </row>
    <row r="26" spans="1:6" x14ac:dyDescent="0.25">
      <c r="A26" s="24" t="s">
        <v>128</v>
      </c>
      <c r="B26" s="25">
        <v>1100000</v>
      </c>
      <c r="E26" s="24" t="s">
        <v>130</v>
      </c>
      <c r="F26" s="25">
        <v>300000</v>
      </c>
    </row>
    <row r="27" spans="1:6" x14ac:dyDescent="0.25">
      <c r="A27" s="24" t="s">
        <v>129</v>
      </c>
      <c r="B27" s="25">
        <v>250000</v>
      </c>
      <c r="E27" s="24" t="s">
        <v>129</v>
      </c>
      <c r="F27" s="25">
        <v>250000</v>
      </c>
    </row>
    <row r="28" spans="1:6" x14ac:dyDescent="0.25">
      <c r="A28" s="24" t="s">
        <v>130</v>
      </c>
      <c r="B28" s="25">
        <v>300000</v>
      </c>
      <c r="E28" s="24" t="s">
        <v>81</v>
      </c>
      <c r="F28" s="25">
        <v>16466500</v>
      </c>
    </row>
    <row r="29" spans="1:6" x14ac:dyDescent="0.25">
      <c r="A29" s="24" t="s">
        <v>81</v>
      </c>
      <c r="B29" s="25">
        <v>16466500</v>
      </c>
    </row>
  </sheetData>
  <mergeCells count="5">
    <mergeCell ref="A1:C1"/>
    <mergeCell ref="E1:F1"/>
    <mergeCell ref="A14:B15"/>
    <mergeCell ref="A21:B22"/>
    <mergeCell ref="E20:F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98FB-4163-45BC-B690-F144DC200AB2}">
  <sheetPr>
    <tabColor theme="2" tint="-9.9978637043366805E-2"/>
  </sheetPr>
  <dimension ref="A1:W10"/>
  <sheetViews>
    <sheetView showGridLines="0" showRowColHeaders="0" tabSelected="1" zoomScale="85" zoomScaleNormal="85" workbookViewId="0">
      <selection activeCell="V7" sqref="V7"/>
    </sheetView>
  </sheetViews>
  <sheetFormatPr baseColWidth="10" defaultRowHeight="15" x14ac:dyDescent="0.25"/>
  <cols>
    <col min="1" max="1" width="28" bestFit="1" customWidth="1"/>
    <col min="2" max="2" width="12.7109375" customWidth="1"/>
    <col min="3" max="3" width="13.7109375" bestFit="1" customWidth="1"/>
    <col min="5" max="5" width="17.5703125" bestFit="1" customWidth="1"/>
    <col min="6" max="6" width="12.7109375" bestFit="1" customWidth="1"/>
    <col min="7" max="7" width="7.5703125" customWidth="1"/>
    <col min="8" max="8" width="17.5703125" bestFit="1" customWidth="1"/>
    <col min="9" max="9" width="12.7109375" bestFit="1" customWidth="1"/>
    <col min="10" max="10" width="13.7109375" bestFit="1" customWidth="1"/>
    <col min="11" max="11" width="28" customWidth="1"/>
    <col min="12" max="12" width="13.85546875" bestFit="1" customWidth="1"/>
    <col min="13" max="13" width="12.7109375" bestFit="1" customWidth="1"/>
    <col min="20" max="20" width="13.7109375" bestFit="1" customWidth="1"/>
  </cols>
  <sheetData>
    <row r="1" spans="1:23" ht="15.75" thickBot="1" x14ac:dyDescent="0.3">
      <c r="A1" s="21" t="s">
        <v>120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6.5" thickTop="1" thickBo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8.25" customHeight="1" thickTop="1" thickBo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ht="15.75" thickTop="1" x14ac:dyDescent="0.25"/>
    <row r="10" spans="1:23" x14ac:dyDescent="0.25">
      <c r="T10" s="3"/>
    </row>
  </sheetData>
  <mergeCells count="1">
    <mergeCell ref="A1:W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F51A3AA-ABAB-449D-8A8F-1C7274C4A73A}">
  <ds:schemaRefs/>
</ds:datastoreItem>
</file>

<file path=customXml/itemProps2.xml><?xml version="1.0" encoding="utf-8"?>
<ds:datastoreItem xmlns:ds="http://schemas.openxmlformats.org/officeDocument/2006/customXml" ds:itemID="{8FA87FE9-922B-4299-BB91-041D1CFDBF73}">
  <ds:schemaRefs/>
</ds:datastoreItem>
</file>

<file path=customXml/itemProps3.xml><?xml version="1.0" encoding="utf-8"?>
<ds:datastoreItem xmlns:ds="http://schemas.openxmlformats.org/officeDocument/2006/customXml" ds:itemID="{5CDD3BE4-47A3-4BB9-8ACA-0FAE2F4890FF}">
  <ds:schemaRefs/>
</ds:datastoreItem>
</file>

<file path=customXml/itemProps4.xml><?xml version="1.0" encoding="utf-8"?>
<ds:datastoreItem xmlns:ds="http://schemas.openxmlformats.org/officeDocument/2006/customXml" ds:itemID="{09DA2216-5FBB-4A06-AE23-2381744F9FF1}">
  <ds:schemaRefs/>
</ds:datastoreItem>
</file>

<file path=customXml/itemProps5.xml><?xml version="1.0" encoding="utf-8"?>
<ds:datastoreItem xmlns:ds="http://schemas.openxmlformats.org/officeDocument/2006/customXml" ds:itemID="{C1F31083-A14B-47C1-B79A-D426A85CD735}">
  <ds:schemaRefs/>
</ds:datastoreItem>
</file>

<file path=customXml/itemProps6.xml><?xml version="1.0" encoding="utf-8"?>
<ds:datastoreItem xmlns:ds="http://schemas.openxmlformats.org/officeDocument/2006/customXml" ds:itemID="{03F6ABEF-BB85-43EC-9FF0-2252F4B4356F}">
  <ds:schemaRefs/>
</ds:datastoreItem>
</file>

<file path=customXml/itemProps7.xml><?xml version="1.0" encoding="utf-8"?>
<ds:datastoreItem xmlns:ds="http://schemas.openxmlformats.org/officeDocument/2006/customXml" ds:itemID="{5D0D5D3C-049D-47BD-9C5C-7673A5F192F5}">
  <ds:schemaRefs/>
</ds:datastoreItem>
</file>

<file path=customXml/itemProps8.xml><?xml version="1.0" encoding="utf-8"?>
<ds:datastoreItem xmlns:ds="http://schemas.openxmlformats.org/officeDocument/2006/customXml" ds:itemID="{E909A81B-4EBA-45DB-B0D0-9F7F54156AAB}">
  <ds:schemaRefs/>
</ds:datastoreItem>
</file>

<file path=customXml/itemProps9.xml><?xml version="1.0" encoding="utf-8"?>
<ds:datastoreItem xmlns:ds="http://schemas.openxmlformats.org/officeDocument/2006/customXml" ds:itemID="{509852B9-3056-43A5-8582-30E2C8026FFE}">
  <ds:schemaRefs/>
</ds:datastoreItem>
</file>

<file path=customXml/itemProps10.xml><?xml version="1.0" encoding="utf-8"?>
<ds:datastoreItem xmlns:ds="http://schemas.openxmlformats.org/officeDocument/2006/customXml" ds:itemID="{90BFBE8A-CF2E-441B-AB0B-127D7F585723}">
  <ds:schemaRefs/>
</ds:datastoreItem>
</file>

<file path=customXml/itemProps11.xml><?xml version="1.0" encoding="utf-8"?>
<ds:datastoreItem xmlns:ds="http://schemas.openxmlformats.org/officeDocument/2006/customXml" ds:itemID="{B15DAF3C-0773-4DD9-9B55-CF1FA18D1DC6}">
  <ds:schemaRefs/>
</ds:datastoreItem>
</file>

<file path=customXml/itemProps12.xml><?xml version="1.0" encoding="utf-8"?>
<ds:datastoreItem xmlns:ds="http://schemas.openxmlformats.org/officeDocument/2006/customXml" ds:itemID="{0A33EAE9-300C-4EBE-B5CE-291CD1E60AB7}">
  <ds:schemaRefs/>
</ds:datastoreItem>
</file>

<file path=customXml/itemProps13.xml><?xml version="1.0" encoding="utf-8"?>
<ds:datastoreItem xmlns:ds="http://schemas.openxmlformats.org/officeDocument/2006/customXml" ds:itemID="{DB778874-4122-4F3A-B22E-765F6E093991}">
  <ds:schemaRefs/>
</ds:datastoreItem>
</file>

<file path=customXml/itemProps14.xml><?xml version="1.0" encoding="utf-8"?>
<ds:datastoreItem xmlns:ds="http://schemas.openxmlformats.org/officeDocument/2006/customXml" ds:itemID="{7A2995D7-A0B7-4C9A-809A-3987A844629E}">
  <ds:schemaRefs/>
</ds:datastoreItem>
</file>

<file path=customXml/itemProps15.xml><?xml version="1.0" encoding="utf-8"?>
<ds:datastoreItem xmlns:ds="http://schemas.openxmlformats.org/officeDocument/2006/customXml" ds:itemID="{7F8433A9-34B0-48E6-AE03-36B0F7C01E96}">
  <ds:schemaRefs/>
</ds:datastoreItem>
</file>

<file path=customXml/itemProps16.xml><?xml version="1.0" encoding="utf-8"?>
<ds:datastoreItem xmlns:ds="http://schemas.openxmlformats.org/officeDocument/2006/customXml" ds:itemID="{42064436-238D-4AB5-83B6-2BFAC39B0F2C}">
  <ds:schemaRefs/>
</ds:datastoreItem>
</file>

<file path=customXml/itemProps17.xml><?xml version="1.0" encoding="utf-8"?>
<ds:datastoreItem xmlns:ds="http://schemas.openxmlformats.org/officeDocument/2006/customXml" ds:itemID="{A6E1852E-D8DE-40D2-BE0C-8AC6161DC1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PRESTAMOS</vt:lpstr>
      <vt:lpstr>CUOTAS</vt:lpstr>
      <vt:lpstr>borrador KPIS (no modificar)</vt:lpstr>
      <vt:lpstr>Tablas</vt:lpstr>
      <vt:lpstr>TABLERO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Victus</cp:lastModifiedBy>
  <dcterms:created xsi:type="dcterms:W3CDTF">2025-12-12T03:31:31Z</dcterms:created>
  <dcterms:modified xsi:type="dcterms:W3CDTF">2025-12-13T02:42:57Z</dcterms:modified>
</cp:coreProperties>
</file>